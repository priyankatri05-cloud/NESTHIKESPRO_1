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novo\Downloads\PROJECT\"/>
    </mc:Choice>
  </mc:AlternateContent>
  <bookViews>
    <workbookView xWindow="0" yWindow="0" windowWidth="23040" windowHeight="8784"/>
  </bookViews>
  <sheets>
    <sheet name="Statistics" sheetId="1" r:id="rId1"/>
  </sheets>
  <externalReferences>
    <externalReference r:id="rId2"/>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7" i="1" l="1"/>
  <c r="B26" i="1"/>
  <c r="B25" i="1"/>
  <c r="B24" i="1"/>
  <c r="B23" i="1"/>
  <c r="B22" i="1"/>
  <c r="B21" i="1"/>
  <c r="B20" i="1"/>
  <c r="B19" i="1"/>
  <c r="B18" i="1"/>
  <c r="B17" i="1"/>
  <c r="B16" i="1"/>
  <c r="B15" i="1"/>
  <c r="B9" i="1"/>
  <c r="B8" i="1"/>
  <c r="B7" i="1"/>
  <c r="B6" i="1"/>
  <c r="B5" i="1"/>
  <c r="B4" i="1"/>
  <c r="B3" i="1"/>
  <c r="B2" i="1"/>
</calcChain>
</file>

<file path=xl/sharedStrings.xml><?xml version="1.0" encoding="utf-8"?>
<sst xmlns="http://schemas.openxmlformats.org/spreadsheetml/2006/main" count="39" uniqueCount="39">
  <si>
    <t>Metric</t>
  </si>
  <si>
    <t>Value</t>
  </si>
  <si>
    <t>Total Records</t>
  </si>
  <si>
    <t>Total Rentals</t>
  </si>
  <si>
    <t>Average Rentals</t>
  </si>
  <si>
    <t>Maximum Rentals</t>
  </si>
  <si>
    <t>Minimum Rentals</t>
  </si>
  <si>
    <t>Average Temperature</t>
  </si>
  <si>
    <t>Average Humidity</t>
  </si>
  <si>
    <t>Average Windspeed</t>
  </si>
  <si>
    <t>Business Analysis</t>
  </si>
  <si>
    <t>Analysis</t>
  </si>
  <si>
    <t>Result</t>
  </si>
  <si>
    <t>Average Holiday Rentals &lt; Average Weekday Rentals:</t>
  </si>
  <si>
    <t>Holiday Records</t>
  </si>
  <si>
    <t>Bike rentals are lower during holidays than on weekdays. This suggests that the bike-sharing service is used primarily for daily commuting rather than leisure activities.</t>
  </si>
  <si>
    <t>Weekend Records</t>
  </si>
  <si>
    <t>Weekday Records</t>
  </si>
  <si>
    <t>Weekend Vs WeekDay</t>
  </si>
  <si>
    <t>Holiday Rentals</t>
  </si>
  <si>
    <t>The majority of bike rentals occur on weekdays, indicating that users mainly rely on the service for commuting to work or school.</t>
  </si>
  <si>
    <t>Weekend Rentals</t>
  </si>
  <si>
    <t>Weekday Rentals</t>
  </si>
  <si>
    <t>Temperature Vs Rental Correlation &gt;0.3</t>
  </si>
  <si>
    <t>Average Holiday Rentals</t>
  </si>
  <si>
    <t>Temperature has a weak positive relationship with bike rentals. As temperature increases, rentals tend to increase slightly, but temperature alone is not a major factor affecting demand.</t>
  </si>
  <si>
    <t>Average Weekend Rentals</t>
  </si>
  <si>
    <t>Average Weekday Rentals</t>
  </si>
  <si>
    <t>Humidity</t>
  </si>
  <si>
    <t>Rental Standard Deviation</t>
  </si>
  <si>
    <t>Humidity has a weak negative relationship with bike rentals. Higher humidity is associated with a slight decrease in rental activity.</t>
  </si>
  <si>
    <t>Temperature vs Rentals Correlation</t>
  </si>
  <si>
    <t>Humidity vs Rentals</t>
  </si>
  <si>
    <t>Windspeed</t>
  </si>
  <si>
    <t>Windspeed vs Rentals</t>
  </si>
  <si>
    <t>Windspeed has a very weak positive relationship with bike rentals. It has minimal impact on rental demand.</t>
  </si>
  <si>
    <t>Standard Deviation</t>
  </si>
  <si>
    <r>
      <t xml:space="preserve">The rental standard deviation is </t>
    </r>
    <r>
      <rPr>
        <b/>
        <sz val="11"/>
        <color theme="1"/>
        <rFont val="Calibri"/>
        <family val="2"/>
        <scheme val="minor"/>
      </rPr>
      <t>50.96</t>
    </r>
    <r>
      <rPr>
        <sz val="11"/>
        <color theme="1"/>
        <rFont val="Calibri"/>
        <family val="2"/>
        <scheme val="minor"/>
      </rPr>
      <t>, indicating that bike rental demand varies considerably across different time periods. Demand is not constant and is influenced by factors such as time of day, day type, season, and weather conditions.</t>
    </r>
  </si>
  <si>
    <t>The statistical analysis indicates that bike rentals are primarily driven by weekday commuting patterns, as average weekday rentals (63.34) exceed holiday (41.67) and weekend (48.09) rentals. Temperature shows a weak positive correlation (0.229) with rental demand, while humidity has a weak negative correlation (-0.254), suggesting that higher humidity slightly reduces bike usage. Windspeed has a negligible influence (0.104) on rentals. The standard deviation of 50.96 indicates substantial variability in rental demand, reflecting the combined effects of weather, season, and time-based factors.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</si>
</sst>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sz val="10"/>
      <color theme="1"/>
      <name val="Arial Unicode MS"/>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2" fontId="0" fillId="0" borderId="0" xfId="0" applyNumberFormat="1"/>
    <xf numFmtId="0" fontId="2" fillId="0" borderId="0" xfId="0" applyFont="1" applyAlignment="1">
      <alignment vertical="center"/>
    </xf>
    <xf numFmtId="0" fontId="3" fillId="0" borderId="0" xfId="0" applyFont="1"/>
    <xf numFmtId="0" fontId="1" fillId="0" borderId="0" xfId="0" applyFont="1"/>
    <xf numFmtId="0" fontId="0" fillId="0" borderId="0" xfId="0" applyAlignment="1">
      <alignment horizontal="left" vertical="center" wrapText="1" indent="1"/>
    </xf>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Lenovo/Downloads/Bike_Sharing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Data"/>
      <sheetName val="Statistics"/>
      <sheetName val="Pivot_Tables"/>
      <sheetName val="Pivot Weather"/>
      <sheetName val="Pivot User Type"/>
      <sheetName val="Pivot Hour"/>
      <sheetName val="Dashboard"/>
      <sheetName val="Forcast"/>
      <sheetName val="Documentation"/>
      <sheetName val="Lookup"/>
    </sheetNames>
    <sheetDataSet>
      <sheetData sheetId="0"/>
      <sheetData sheetId="1"/>
      <sheetData sheetId="2"/>
      <sheetData sheetId="3"/>
      <sheetData sheetId="4"/>
      <sheetData sheetId="5"/>
      <sheetData sheetId="6"/>
      <sheetData sheetId="7"/>
      <sheetData sheetId="8"/>
      <sheetData sheetId="9"/>
    </sheetDataSet>
  </externalBook>
</externalLink>
</file>

<file path=xl/tables/table1.xml><?xml version="1.0" encoding="utf-8"?>
<table xmlns="http://schemas.openxmlformats.org/spreadsheetml/2006/main" id="1" name="Table8" displayName="Table8" ref="A1:B9" totalsRowShown="0">
  <autoFilter ref="A1:B9"/>
  <tableColumns count="2">
    <tableColumn id="1" name="Metric"/>
    <tableColumn id="2" name="Value"/>
  </tableColumns>
  <tableStyleInfo name="TableStyleLight13" showFirstColumn="0" showLastColumn="0" showRowStripes="1" showColumnStripes="0"/>
</table>
</file>

<file path=xl/tables/table2.xml><?xml version="1.0" encoding="utf-8"?>
<table xmlns="http://schemas.openxmlformats.org/spreadsheetml/2006/main" id="2" name="Table9" displayName="Table9" ref="A14:B27" totalsRowShown="0">
  <autoFilter ref="A14:B27"/>
  <tableColumns count="2">
    <tableColumn id="1" name="Analysis"/>
    <tableColumn id="2" name="Result"/>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Views>
    <sheetView tabSelected="1" workbookViewId="0">
      <selection activeCell="D1" sqref="D1"/>
    </sheetView>
  </sheetViews>
  <sheetFormatPr defaultRowHeight="14.4" x14ac:dyDescent="0.3"/>
  <cols>
    <col min="1" max="1" width="30.33203125" bestFit="1" customWidth="1"/>
    <col min="2" max="2" width="10" bestFit="1" customWidth="1"/>
    <col min="4" max="4" width="74" bestFit="1" customWidth="1"/>
  </cols>
  <sheetData>
    <row r="1" spans="1:4" x14ac:dyDescent="0.3">
      <c r="A1" t="s">
        <v>0</v>
      </c>
      <c r="B1" t="s">
        <v>1</v>
      </c>
    </row>
    <row r="2" spans="1:4" x14ac:dyDescent="0.3">
      <c r="A2" t="s">
        <v>2</v>
      </c>
      <c r="B2">
        <f>ROWS([1]!MasterData[#Data])</f>
        <v>1000</v>
      </c>
    </row>
    <row r="3" spans="1:4" x14ac:dyDescent="0.3">
      <c r="A3" t="s">
        <v>3</v>
      </c>
      <c r="B3">
        <f>SUM([1]!MasterData[cnt])</f>
        <v>58304</v>
      </c>
    </row>
    <row r="4" spans="1:4" x14ac:dyDescent="0.3">
      <c r="A4" t="s">
        <v>4</v>
      </c>
      <c r="B4" s="1">
        <f>AVERAGE([1]!MasterData[cnt])</f>
        <v>58.304000000000002</v>
      </c>
    </row>
    <row r="5" spans="1:4" x14ac:dyDescent="0.3">
      <c r="A5" t="s">
        <v>5</v>
      </c>
      <c r="B5">
        <f>MAX([1]!MasterData[cnt])</f>
        <v>249</v>
      </c>
    </row>
    <row r="6" spans="1:4" ht="15" x14ac:dyDescent="0.3">
      <c r="A6" t="s">
        <v>6</v>
      </c>
      <c r="B6" s="2">
        <f>MIN([1]!MasterData[cnt])</f>
        <v>1</v>
      </c>
    </row>
    <row r="7" spans="1:4" x14ac:dyDescent="0.3">
      <c r="A7" t="s">
        <v>7</v>
      </c>
      <c r="B7" s="1">
        <f>AVERAGE([1]!MasterData[temp])</f>
        <v>0.20589999999999964</v>
      </c>
    </row>
    <row r="8" spans="1:4" x14ac:dyDescent="0.3">
      <c r="A8" t="s">
        <v>8</v>
      </c>
      <c r="B8" s="1">
        <f>AVERAGE([1]!MasterData[hum])</f>
        <v>0.58248000000000055</v>
      </c>
    </row>
    <row r="9" spans="1:4" x14ac:dyDescent="0.3">
      <c r="A9" t="s">
        <v>9</v>
      </c>
      <c r="B9" s="1">
        <f>AVERAGE([1]!MasterData[windspeed])</f>
        <v>0.19493129999999903</v>
      </c>
    </row>
    <row r="12" spans="1:4" ht="15.6" x14ac:dyDescent="0.3">
      <c r="A12" s="3" t="s">
        <v>10</v>
      </c>
    </row>
    <row r="14" spans="1:4" x14ac:dyDescent="0.3">
      <c r="A14" t="s">
        <v>11</v>
      </c>
      <c r="B14" t="s">
        <v>12</v>
      </c>
      <c r="D14" s="4" t="s">
        <v>13</v>
      </c>
    </row>
    <row r="15" spans="1:4" ht="28.8" x14ac:dyDescent="0.3">
      <c r="A15" t="s">
        <v>14</v>
      </c>
      <c r="B15">
        <f>COUNTIF([1]!MasterData[holiday],TRUE)</f>
        <v>24</v>
      </c>
      <c r="D15" s="5" t="s">
        <v>15</v>
      </c>
    </row>
    <row r="16" spans="1:4" x14ac:dyDescent="0.3">
      <c r="A16" t="s">
        <v>16</v>
      </c>
      <c r="B16">
        <f>COUNTIF([1]!MasterData[Day_Type],"Weekend")</f>
        <v>330</v>
      </c>
    </row>
    <row r="17" spans="1:4" x14ac:dyDescent="0.3">
      <c r="A17" t="s">
        <v>17</v>
      </c>
      <c r="B17">
        <f>COUNTIF([1]!MasterData[Day_Type],"Weekday")</f>
        <v>670</v>
      </c>
      <c r="D17" s="4" t="s">
        <v>18</v>
      </c>
    </row>
    <row r="18" spans="1:4" ht="28.8" x14ac:dyDescent="0.3">
      <c r="A18" t="s">
        <v>19</v>
      </c>
      <c r="B18">
        <f>SUMIF([1]!MasterData[holiday],TRUE,[1]!MasterData[cnt])</f>
        <v>1000</v>
      </c>
      <c r="D18" s="6" t="s">
        <v>20</v>
      </c>
    </row>
    <row r="19" spans="1:4" x14ac:dyDescent="0.3">
      <c r="A19" t="s">
        <v>21</v>
      </c>
      <c r="B19">
        <f>SUMIF([1]!MasterData[Day_Type],"Weekend",[1]!MasterData[cnt])</f>
        <v>15869</v>
      </c>
    </row>
    <row r="20" spans="1:4" x14ac:dyDescent="0.3">
      <c r="A20" t="s">
        <v>22</v>
      </c>
      <c r="B20">
        <f>SUMIF([1]!MasterData[Day_Type],"Weekday",[1]!MasterData[cnt])</f>
        <v>42435</v>
      </c>
      <c r="D20" s="4" t="s">
        <v>23</v>
      </c>
    </row>
    <row r="21" spans="1:4" ht="43.2" x14ac:dyDescent="0.3">
      <c r="A21" t="s">
        <v>24</v>
      </c>
      <c r="B21">
        <f>AVERAGEIF([1]!MasterData[holiday],TRUE,[1]!MasterData[cnt])</f>
        <v>41.666666666666664</v>
      </c>
      <c r="D21" s="6" t="s">
        <v>25</v>
      </c>
    </row>
    <row r="22" spans="1:4" x14ac:dyDescent="0.3">
      <c r="A22" t="s">
        <v>26</v>
      </c>
      <c r="B22">
        <f>AVERAGEIF([1]!MasterData[Day_Type],"Weekend",[1]!MasterData[cnt])</f>
        <v>48.087878787878786</v>
      </c>
    </row>
    <row r="23" spans="1:4" x14ac:dyDescent="0.3">
      <c r="A23" t="s">
        <v>27</v>
      </c>
      <c r="B23">
        <f>AVERAGEIF([1]!MasterData[Day_Type],"Weekday",[1]!MasterData[cnt])</f>
        <v>63.335820895522389</v>
      </c>
      <c r="D23" s="4" t="s">
        <v>28</v>
      </c>
    </row>
    <row r="24" spans="1:4" ht="28.8" x14ac:dyDescent="0.3">
      <c r="A24" t="s">
        <v>29</v>
      </c>
      <c r="B24">
        <f>_xlfn.STDEV.P([1]!MasterData[cnt])</f>
        <v>50.960058712682034</v>
      </c>
      <c r="D24" s="6" t="s">
        <v>30</v>
      </c>
    </row>
    <row r="25" spans="1:4" x14ac:dyDescent="0.3">
      <c r="A25" t="s">
        <v>31</v>
      </c>
      <c r="B25">
        <f>CORREL([1]!MasterData[temp],[1]!MasterData[cnt])</f>
        <v>0.22929155386993369</v>
      </c>
    </row>
    <row r="26" spans="1:4" x14ac:dyDescent="0.3">
      <c r="A26" t="s">
        <v>32</v>
      </c>
      <c r="B26">
        <f>CORREL([1]!MasterData[hum],[1]!MasterData[cnt])</f>
        <v>-0.25435329828790459</v>
      </c>
      <c r="D26" s="4" t="s">
        <v>33</v>
      </c>
    </row>
    <row r="27" spans="1:4" ht="28.8" x14ac:dyDescent="0.3">
      <c r="A27" t="s">
        <v>34</v>
      </c>
      <c r="B27">
        <f>CORREL([1]!MasterData[windspeed],[1]!MasterData[cnt])</f>
        <v>0.10399668008577613</v>
      </c>
      <c r="D27" s="6" t="s">
        <v>35</v>
      </c>
    </row>
    <row r="29" spans="1:4" x14ac:dyDescent="0.3">
      <c r="D29" s="4" t="s">
        <v>36</v>
      </c>
    </row>
    <row r="30" spans="1:4" ht="43.2" x14ac:dyDescent="0.3">
      <c r="D30" s="6" t="s">
        <v>37</v>
      </c>
    </row>
    <row r="32" spans="1:4" ht="115.2" x14ac:dyDescent="0.3">
      <c r="D32" s="7" t="s">
        <v>38</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2026-07-25T17:32:01Z</dcterms:created>
  <dcterms:modified xsi:type="dcterms:W3CDTF">2026-07-25T17:32:59Z</dcterms:modified>
</cp:coreProperties>
</file>