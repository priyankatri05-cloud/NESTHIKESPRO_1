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PROJECT\"/>
    </mc:Choice>
  </mc:AlternateContent>
  <bookViews>
    <workbookView xWindow="0" yWindow="0" windowWidth="23040" windowHeight="8784"/>
  </bookViews>
  <sheets>
    <sheet name="MasterData" sheetId="1" r:id="rId1"/>
  </sheets>
  <externalReferences>
    <externalReference r:id="rId2"/>
  </externalReferences>
  <definedNames>
    <definedName name="ExternalData_1" localSheetId="0">MasterData!$A$1:$P$1001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R2" i="1"/>
  <c r="S2" i="1"/>
  <c r="T2" i="1"/>
  <c r="U2" i="1"/>
  <c r="V2" i="1"/>
  <c r="W2" i="1"/>
  <c r="X2" i="1"/>
  <c r="Y2" i="1"/>
  <c r="Q3" i="1"/>
  <c r="R3" i="1"/>
  <c r="S3" i="1"/>
  <c r="T3" i="1"/>
  <c r="U3" i="1"/>
  <c r="V3" i="1"/>
  <c r="W3" i="1"/>
  <c r="X3" i="1"/>
  <c r="Y3" i="1"/>
  <c r="Q4" i="1"/>
  <c r="R4" i="1"/>
  <c r="S4" i="1"/>
  <c r="T4" i="1"/>
  <c r="U4" i="1"/>
  <c r="V4" i="1"/>
  <c r="W4" i="1"/>
  <c r="X4" i="1"/>
  <c r="Y4" i="1"/>
  <c r="Q5" i="1"/>
  <c r="R5" i="1"/>
  <c r="S5" i="1"/>
  <c r="T5" i="1"/>
  <c r="U5" i="1"/>
  <c r="V5" i="1"/>
  <c r="W5" i="1"/>
  <c r="X5" i="1"/>
  <c r="Y5" i="1"/>
  <c r="Q6" i="1"/>
  <c r="R6" i="1"/>
  <c r="S6" i="1"/>
  <c r="T6" i="1"/>
  <c r="U6" i="1"/>
  <c r="V6" i="1"/>
  <c r="W6" i="1"/>
  <c r="X6" i="1"/>
  <c r="Y6" i="1"/>
  <c r="Q7" i="1"/>
  <c r="R7" i="1"/>
  <c r="S7" i="1"/>
  <c r="T7" i="1"/>
  <c r="U7" i="1"/>
  <c r="V7" i="1"/>
  <c r="W7" i="1"/>
  <c r="X7" i="1"/>
  <c r="Y7" i="1"/>
  <c r="Q8" i="1"/>
  <c r="R8" i="1"/>
  <c r="S8" i="1"/>
  <c r="T8" i="1"/>
  <c r="U8" i="1"/>
  <c r="V8" i="1"/>
  <c r="W8" i="1"/>
  <c r="X8" i="1"/>
  <c r="Y8" i="1"/>
  <c r="Q9" i="1"/>
  <c r="R9" i="1"/>
  <c r="S9" i="1"/>
  <c r="T9" i="1"/>
  <c r="U9" i="1"/>
  <c r="V9" i="1"/>
  <c r="W9" i="1"/>
  <c r="X9" i="1"/>
  <c r="Y9" i="1"/>
  <c r="Q10" i="1"/>
  <c r="R10" i="1"/>
  <c r="S10" i="1"/>
  <c r="T10" i="1"/>
  <c r="U10" i="1"/>
  <c r="V10" i="1"/>
  <c r="W10" i="1"/>
  <c r="X10" i="1"/>
  <c r="Y10" i="1"/>
  <c r="Q11" i="1"/>
  <c r="R11" i="1"/>
  <c r="S11" i="1"/>
  <c r="T11" i="1"/>
  <c r="U11" i="1"/>
  <c r="V11" i="1"/>
  <c r="W11" i="1"/>
  <c r="X11" i="1"/>
  <c r="Y11" i="1"/>
  <c r="Q12" i="1"/>
  <c r="R12" i="1"/>
  <c r="S12" i="1"/>
  <c r="T12" i="1"/>
  <c r="U12" i="1"/>
  <c r="V12" i="1"/>
  <c r="W12" i="1"/>
  <c r="X12" i="1"/>
  <c r="Y12" i="1"/>
  <c r="Q13" i="1"/>
  <c r="R13" i="1"/>
  <c r="S13" i="1"/>
  <c r="T13" i="1"/>
  <c r="U13" i="1"/>
  <c r="V13" i="1"/>
  <c r="W13" i="1"/>
  <c r="X13" i="1"/>
  <c r="Y13" i="1"/>
  <c r="Q14" i="1"/>
  <c r="R14" i="1"/>
  <c r="S14" i="1"/>
  <c r="T14" i="1"/>
  <c r="U14" i="1"/>
  <c r="V14" i="1"/>
  <c r="W14" i="1"/>
  <c r="X14" i="1"/>
  <c r="Y14" i="1"/>
  <c r="Q15" i="1"/>
  <c r="R15" i="1"/>
  <c r="S15" i="1"/>
  <c r="T15" i="1"/>
  <c r="U15" i="1"/>
  <c r="V15" i="1"/>
  <c r="W15" i="1"/>
  <c r="X15" i="1"/>
  <c r="Y15" i="1"/>
  <c r="Q16" i="1"/>
  <c r="R16" i="1"/>
  <c r="S16" i="1"/>
  <c r="T16" i="1"/>
  <c r="U16" i="1"/>
  <c r="V16" i="1"/>
  <c r="W16" i="1"/>
  <c r="X16" i="1"/>
  <c r="Y16" i="1"/>
  <c r="Q17" i="1"/>
  <c r="R17" i="1"/>
  <c r="S17" i="1"/>
  <c r="T17" i="1"/>
  <c r="U17" i="1"/>
  <c r="V17" i="1"/>
  <c r="W17" i="1"/>
  <c r="X17" i="1"/>
  <c r="Y17" i="1"/>
  <c r="Q18" i="1"/>
  <c r="R18" i="1"/>
  <c r="S18" i="1"/>
  <c r="T18" i="1"/>
  <c r="U18" i="1"/>
  <c r="V18" i="1"/>
  <c r="W18" i="1"/>
  <c r="X18" i="1"/>
  <c r="Y18" i="1"/>
  <c r="Q19" i="1"/>
  <c r="R19" i="1"/>
  <c r="S19" i="1"/>
  <c r="T19" i="1"/>
  <c r="U19" i="1"/>
  <c r="V19" i="1"/>
  <c r="W19" i="1"/>
  <c r="X19" i="1"/>
  <c r="Y19" i="1"/>
  <c r="Q20" i="1"/>
  <c r="R20" i="1"/>
  <c r="S20" i="1"/>
  <c r="T20" i="1"/>
  <c r="U20" i="1"/>
  <c r="V20" i="1"/>
  <c r="W20" i="1"/>
  <c r="X20" i="1"/>
  <c r="Y20" i="1"/>
  <c r="Q21" i="1"/>
  <c r="R21" i="1"/>
  <c r="S21" i="1"/>
  <c r="T21" i="1"/>
  <c r="U21" i="1"/>
  <c r="V21" i="1"/>
  <c r="W21" i="1"/>
  <c r="X21" i="1"/>
  <c r="Y21" i="1"/>
  <c r="Q22" i="1"/>
  <c r="R22" i="1"/>
  <c r="S22" i="1"/>
  <c r="T22" i="1"/>
  <c r="U22" i="1"/>
  <c r="V22" i="1"/>
  <c r="W22" i="1"/>
  <c r="X22" i="1"/>
  <c r="Y22" i="1"/>
  <c r="Q23" i="1"/>
  <c r="R23" i="1"/>
  <c r="S23" i="1"/>
  <c r="T23" i="1"/>
  <c r="U23" i="1"/>
  <c r="V23" i="1"/>
  <c r="W23" i="1"/>
  <c r="X23" i="1"/>
  <c r="Y23" i="1"/>
  <c r="Q24" i="1"/>
  <c r="R24" i="1"/>
  <c r="S24" i="1"/>
  <c r="T24" i="1"/>
  <c r="U24" i="1"/>
  <c r="V24" i="1"/>
  <c r="W24" i="1"/>
  <c r="X24" i="1"/>
  <c r="Y24" i="1"/>
  <c r="Q25" i="1"/>
  <c r="R25" i="1"/>
  <c r="S25" i="1"/>
  <c r="T25" i="1"/>
  <c r="U25" i="1"/>
  <c r="V25" i="1"/>
  <c r="W25" i="1"/>
  <c r="X25" i="1"/>
  <c r="Y25" i="1"/>
  <c r="Q26" i="1"/>
  <c r="R26" i="1"/>
  <c r="S26" i="1"/>
  <c r="T26" i="1"/>
  <c r="U26" i="1"/>
  <c r="V26" i="1"/>
  <c r="W26" i="1"/>
  <c r="X26" i="1"/>
  <c r="Y26" i="1"/>
  <c r="Q27" i="1"/>
  <c r="R27" i="1"/>
  <c r="S27" i="1"/>
  <c r="T27" i="1"/>
  <c r="U27" i="1"/>
  <c r="V27" i="1"/>
  <c r="W27" i="1"/>
  <c r="X27" i="1"/>
  <c r="Y27" i="1"/>
  <c r="Q28" i="1"/>
  <c r="R28" i="1"/>
  <c r="S28" i="1"/>
  <c r="T28" i="1"/>
  <c r="U28" i="1"/>
  <c r="V28" i="1"/>
  <c r="W28" i="1"/>
  <c r="X28" i="1"/>
  <c r="Y28" i="1"/>
  <c r="Q29" i="1"/>
  <c r="R29" i="1"/>
  <c r="S29" i="1"/>
  <c r="T29" i="1"/>
  <c r="U29" i="1"/>
  <c r="V29" i="1"/>
  <c r="W29" i="1"/>
  <c r="X29" i="1"/>
  <c r="Y29" i="1"/>
  <c r="Q30" i="1"/>
  <c r="R30" i="1"/>
  <c r="S30" i="1"/>
  <c r="T30" i="1"/>
  <c r="U30" i="1"/>
  <c r="V30" i="1"/>
  <c r="W30" i="1"/>
  <c r="X30" i="1"/>
  <c r="Y30" i="1"/>
  <c r="Q31" i="1"/>
  <c r="R31" i="1"/>
  <c r="S31" i="1"/>
  <c r="T31" i="1"/>
  <c r="U31" i="1"/>
  <c r="V31" i="1"/>
  <c r="W31" i="1"/>
  <c r="X31" i="1"/>
  <c r="Y31" i="1"/>
  <c r="Q32" i="1"/>
  <c r="R32" i="1"/>
  <c r="S32" i="1"/>
  <c r="T32" i="1"/>
  <c r="U32" i="1"/>
  <c r="V32" i="1"/>
  <c r="W32" i="1"/>
  <c r="X32" i="1"/>
  <c r="Y32" i="1"/>
  <c r="Q33" i="1"/>
  <c r="R33" i="1"/>
  <c r="S33" i="1"/>
  <c r="T33" i="1"/>
  <c r="U33" i="1"/>
  <c r="V33" i="1"/>
  <c r="W33" i="1"/>
  <c r="X33" i="1"/>
  <c r="Y33" i="1"/>
  <c r="Q34" i="1"/>
  <c r="R34" i="1"/>
  <c r="S34" i="1"/>
  <c r="T34" i="1"/>
  <c r="U34" i="1"/>
  <c r="V34" i="1"/>
  <c r="W34" i="1"/>
  <c r="X34" i="1"/>
  <c r="Y34" i="1"/>
  <c r="Q35" i="1"/>
  <c r="R35" i="1"/>
  <c r="S35" i="1"/>
  <c r="T35" i="1"/>
  <c r="U35" i="1"/>
  <c r="V35" i="1"/>
  <c r="W35" i="1"/>
  <c r="X35" i="1"/>
  <c r="Y35" i="1"/>
  <c r="Q36" i="1"/>
  <c r="R36" i="1"/>
  <c r="S36" i="1"/>
  <c r="T36" i="1"/>
  <c r="U36" i="1"/>
  <c r="V36" i="1"/>
  <c r="W36" i="1"/>
  <c r="X36" i="1"/>
  <c r="Y36" i="1"/>
  <c r="Q37" i="1"/>
  <c r="R37" i="1"/>
  <c r="S37" i="1"/>
  <c r="T37" i="1"/>
  <c r="U37" i="1"/>
  <c r="V37" i="1"/>
  <c r="W37" i="1"/>
  <c r="X37" i="1"/>
  <c r="Y37" i="1"/>
  <c r="Q38" i="1"/>
  <c r="R38" i="1"/>
  <c r="S38" i="1"/>
  <c r="T38" i="1"/>
  <c r="U38" i="1"/>
  <c r="V38" i="1"/>
  <c r="W38" i="1"/>
  <c r="X38" i="1"/>
  <c r="Y38" i="1"/>
  <c r="Q39" i="1"/>
  <c r="R39" i="1"/>
  <c r="S39" i="1"/>
  <c r="T39" i="1"/>
  <c r="U39" i="1"/>
  <c r="V39" i="1"/>
  <c r="W39" i="1"/>
  <c r="X39" i="1"/>
  <c r="Y39" i="1"/>
  <c r="Q40" i="1"/>
  <c r="R40" i="1"/>
  <c r="S40" i="1"/>
  <c r="T40" i="1"/>
  <c r="U40" i="1"/>
  <c r="V40" i="1"/>
  <c r="W40" i="1"/>
  <c r="X40" i="1"/>
  <c r="Y40" i="1"/>
  <c r="Q41" i="1"/>
  <c r="R41" i="1"/>
  <c r="S41" i="1"/>
  <c r="T41" i="1"/>
  <c r="U41" i="1"/>
  <c r="V41" i="1"/>
  <c r="W41" i="1"/>
  <c r="X41" i="1"/>
  <c r="Y41" i="1"/>
  <c r="Q42" i="1"/>
  <c r="R42" i="1"/>
  <c r="S42" i="1"/>
  <c r="T42" i="1"/>
  <c r="U42" i="1"/>
  <c r="V42" i="1"/>
  <c r="W42" i="1"/>
  <c r="X42" i="1"/>
  <c r="Y42" i="1"/>
  <c r="Q43" i="1"/>
  <c r="R43" i="1"/>
  <c r="S43" i="1"/>
  <c r="T43" i="1"/>
  <c r="U43" i="1"/>
  <c r="V43" i="1"/>
  <c r="W43" i="1"/>
  <c r="X43" i="1"/>
  <c r="Y43" i="1"/>
  <c r="Q44" i="1"/>
  <c r="R44" i="1"/>
  <c r="S44" i="1"/>
  <c r="T44" i="1"/>
  <c r="U44" i="1"/>
  <c r="V44" i="1"/>
  <c r="W44" i="1"/>
  <c r="X44" i="1"/>
  <c r="Y44" i="1"/>
  <c r="Q45" i="1"/>
  <c r="R45" i="1"/>
  <c r="S45" i="1"/>
  <c r="T45" i="1"/>
  <c r="U45" i="1"/>
  <c r="V45" i="1"/>
  <c r="W45" i="1"/>
  <c r="X45" i="1"/>
  <c r="Y45" i="1"/>
  <c r="Q46" i="1"/>
  <c r="R46" i="1"/>
  <c r="S46" i="1"/>
  <c r="T46" i="1"/>
  <c r="U46" i="1"/>
  <c r="V46" i="1"/>
  <c r="W46" i="1"/>
  <c r="X46" i="1"/>
  <c r="Y46" i="1"/>
  <c r="Q47" i="1"/>
  <c r="R47" i="1"/>
  <c r="S47" i="1"/>
  <c r="T47" i="1"/>
  <c r="U47" i="1"/>
  <c r="V47" i="1"/>
  <c r="W47" i="1"/>
  <c r="X47" i="1"/>
  <c r="Y47" i="1"/>
  <c r="Q48" i="1"/>
  <c r="R48" i="1"/>
  <c r="S48" i="1"/>
  <c r="T48" i="1"/>
  <c r="U48" i="1"/>
  <c r="V48" i="1"/>
  <c r="W48" i="1"/>
  <c r="X48" i="1"/>
  <c r="Y48" i="1"/>
  <c r="Q49" i="1"/>
  <c r="R49" i="1"/>
  <c r="S49" i="1"/>
  <c r="T49" i="1"/>
  <c r="U49" i="1"/>
  <c r="V49" i="1"/>
  <c r="W49" i="1"/>
  <c r="X49" i="1"/>
  <c r="Y49" i="1"/>
  <c r="Q50" i="1"/>
  <c r="R50" i="1"/>
  <c r="S50" i="1"/>
  <c r="T50" i="1"/>
  <c r="U50" i="1"/>
  <c r="V50" i="1"/>
  <c r="W50" i="1"/>
  <c r="X50" i="1"/>
  <c r="Y50" i="1"/>
  <c r="Q51" i="1"/>
  <c r="R51" i="1"/>
  <c r="S51" i="1"/>
  <c r="T51" i="1"/>
  <c r="U51" i="1"/>
  <c r="V51" i="1"/>
  <c r="W51" i="1"/>
  <c r="X51" i="1"/>
  <c r="Y51" i="1"/>
  <c r="Q52" i="1"/>
  <c r="R52" i="1"/>
  <c r="S52" i="1"/>
  <c r="T52" i="1"/>
  <c r="U52" i="1"/>
  <c r="V52" i="1"/>
  <c r="W52" i="1"/>
  <c r="X52" i="1"/>
  <c r="Y52" i="1"/>
  <c r="Q53" i="1"/>
  <c r="R53" i="1"/>
  <c r="S53" i="1"/>
  <c r="T53" i="1"/>
  <c r="U53" i="1"/>
  <c r="V53" i="1"/>
  <c r="W53" i="1"/>
  <c r="X53" i="1"/>
  <c r="Y53" i="1"/>
  <c r="Q54" i="1"/>
  <c r="R54" i="1"/>
  <c r="S54" i="1"/>
  <c r="T54" i="1"/>
  <c r="U54" i="1"/>
  <c r="V54" i="1"/>
  <c r="W54" i="1"/>
  <c r="X54" i="1"/>
  <c r="Y54" i="1"/>
  <c r="Q55" i="1"/>
  <c r="R55" i="1"/>
  <c r="S55" i="1"/>
  <c r="T55" i="1"/>
  <c r="U55" i="1"/>
  <c r="V55" i="1"/>
  <c r="W55" i="1"/>
  <c r="X55" i="1"/>
  <c r="Y55" i="1"/>
  <c r="Q56" i="1"/>
  <c r="R56" i="1"/>
  <c r="S56" i="1"/>
  <c r="T56" i="1"/>
  <c r="U56" i="1"/>
  <c r="V56" i="1"/>
  <c r="W56" i="1"/>
  <c r="X56" i="1"/>
  <c r="Y56" i="1"/>
  <c r="Q57" i="1"/>
  <c r="R57" i="1"/>
  <c r="S57" i="1"/>
  <c r="T57" i="1"/>
  <c r="U57" i="1"/>
  <c r="V57" i="1"/>
  <c r="W57" i="1"/>
  <c r="X57" i="1"/>
  <c r="Y57" i="1"/>
  <c r="Q58" i="1"/>
  <c r="R58" i="1"/>
  <c r="S58" i="1"/>
  <c r="T58" i="1"/>
  <c r="U58" i="1"/>
  <c r="V58" i="1"/>
  <c r="W58" i="1"/>
  <c r="X58" i="1"/>
  <c r="Y58" i="1"/>
  <c r="Q59" i="1"/>
  <c r="R59" i="1"/>
  <c r="S59" i="1"/>
  <c r="T59" i="1"/>
  <c r="U59" i="1"/>
  <c r="V59" i="1"/>
  <c r="W59" i="1"/>
  <c r="X59" i="1"/>
  <c r="Y59" i="1"/>
  <c r="Q60" i="1"/>
  <c r="R60" i="1"/>
  <c r="S60" i="1"/>
  <c r="T60" i="1"/>
  <c r="U60" i="1"/>
  <c r="V60" i="1"/>
  <c r="W60" i="1"/>
  <c r="X60" i="1"/>
  <c r="Y60" i="1"/>
  <c r="Q61" i="1"/>
  <c r="R61" i="1"/>
  <c r="S61" i="1"/>
  <c r="T61" i="1"/>
  <c r="U61" i="1"/>
  <c r="V61" i="1"/>
  <c r="W61" i="1"/>
  <c r="X61" i="1"/>
  <c r="Y61" i="1"/>
  <c r="Q62" i="1"/>
  <c r="R62" i="1"/>
  <c r="S62" i="1"/>
  <c r="T62" i="1"/>
  <c r="U62" i="1"/>
  <c r="V62" i="1"/>
  <c r="W62" i="1"/>
  <c r="X62" i="1"/>
  <c r="Y62" i="1"/>
  <c r="Q63" i="1"/>
  <c r="R63" i="1"/>
  <c r="S63" i="1"/>
  <c r="T63" i="1"/>
  <c r="U63" i="1"/>
  <c r="V63" i="1"/>
  <c r="W63" i="1"/>
  <c r="X63" i="1"/>
  <c r="Y63" i="1"/>
  <c r="Q64" i="1"/>
  <c r="R64" i="1"/>
  <c r="S64" i="1"/>
  <c r="T64" i="1"/>
  <c r="U64" i="1"/>
  <c r="V64" i="1"/>
  <c r="W64" i="1"/>
  <c r="X64" i="1"/>
  <c r="Y64" i="1"/>
  <c r="Q65" i="1"/>
  <c r="R65" i="1"/>
  <c r="S65" i="1"/>
  <c r="T65" i="1"/>
  <c r="U65" i="1"/>
  <c r="V65" i="1"/>
  <c r="W65" i="1"/>
  <c r="X65" i="1"/>
  <c r="Y65" i="1"/>
  <c r="Q66" i="1"/>
  <c r="R66" i="1"/>
  <c r="S66" i="1"/>
  <c r="T66" i="1"/>
  <c r="U66" i="1"/>
  <c r="V66" i="1"/>
  <c r="W66" i="1"/>
  <c r="X66" i="1"/>
  <c r="Y66" i="1"/>
  <c r="Q67" i="1"/>
  <c r="R67" i="1"/>
  <c r="S67" i="1"/>
  <c r="T67" i="1"/>
  <c r="U67" i="1"/>
  <c r="V67" i="1"/>
  <c r="W67" i="1"/>
  <c r="X67" i="1"/>
  <c r="Y67" i="1"/>
  <c r="Q68" i="1"/>
  <c r="R68" i="1"/>
  <c r="S68" i="1"/>
  <c r="T68" i="1"/>
  <c r="U68" i="1"/>
  <c r="V68" i="1"/>
  <c r="W68" i="1"/>
  <c r="X68" i="1"/>
  <c r="Y68" i="1"/>
  <c r="Q69" i="1"/>
  <c r="R69" i="1"/>
  <c r="S69" i="1"/>
  <c r="T69" i="1"/>
  <c r="U69" i="1"/>
  <c r="V69" i="1"/>
  <c r="W69" i="1"/>
  <c r="X69" i="1"/>
  <c r="Y69" i="1"/>
  <c r="Q70" i="1"/>
  <c r="R70" i="1"/>
  <c r="S70" i="1"/>
  <c r="T70" i="1"/>
  <c r="U70" i="1"/>
  <c r="V70" i="1"/>
  <c r="W70" i="1"/>
  <c r="X70" i="1"/>
  <c r="Y70" i="1"/>
  <c r="Q71" i="1"/>
  <c r="R71" i="1"/>
  <c r="S71" i="1"/>
  <c r="T71" i="1"/>
  <c r="U71" i="1"/>
  <c r="V71" i="1"/>
  <c r="W71" i="1"/>
  <c r="X71" i="1"/>
  <c r="Y71" i="1"/>
  <c r="Q72" i="1"/>
  <c r="R72" i="1"/>
  <c r="S72" i="1"/>
  <c r="T72" i="1"/>
  <c r="U72" i="1"/>
  <c r="V72" i="1"/>
  <c r="W72" i="1"/>
  <c r="X72" i="1"/>
  <c r="Y72" i="1"/>
  <c r="Q73" i="1"/>
  <c r="R73" i="1"/>
  <c r="S73" i="1"/>
  <c r="T73" i="1"/>
  <c r="U73" i="1"/>
  <c r="V73" i="1"/>
  <c r="W73" i="1"/>
  <c r="X73" i="1"/>
  <c r="Y73" i="1"/>
  <c r="Q74" i="1"/>
  <c r="R74" i="1"/>
  <c r="S74" i="1"/>
  <c r="T74" i="1"/>
  <c r="U74" i="1"/>
  <c r="V74" i="1"/>
  <c r="W74" i="1"/>
  <c r="X74" i="1"/>
  <c r="Y74" i="1"/>
  <c r="Q75" i="1"/>
  <c r="R75" i="1"/>
  <c r="S75" i="1"/>
  <c r="T75" i="1"/>
  <c r="U75" i="1"/>
  <c r="V75" i="1"/>
  <c r="W75" i="1"/>
  <c r="X75" i="1"/>
  <c r="Y75" i="1"/>
  <c r="Q76" i="1"/>
  <c r="R76" i="1"/>
  <c r="S76" i="1"/>
  <c r="T76" i="1"/>
  <c r="U76" i="1"/>
  <c r="V76" i="1"/>
  <c r="W76" i="1"/>
  <c r="X76" i="1"/>
  <c r="Y76" i="1"/>
  <c r="Q77" i="1"/>
  <c r="R77" i="1"/>
  <c r="S77" i="1"/>
  <c r="T77" i="1"/>
  <c r="U77" i="1"/>
  <c r="V77" i="1"/>
  <c r="W77" i="1"/>
  <c r="X77" i="1"/>
  <c r="Y77" i="1"/>
  <c r="Q78" i="1"/>
  <c r="R78" i="1"/>
  <c r="S78" i="1"/>
  <c r="T78" i="1"/>
  <c r="U78" i="1"/>
  <c r="V78" i="1"/>
  <c r="W78" i="1"/>
  <c r="X78" i="1"/>
  <c r="Y78" i="1"/>
  <c r="Q79" i="1"/>
  <c r="R79" i="1"/>
  <c r="S79" i="1"/>
  <c r="T79" i="1"/>
  <c r="U79" i="1"/>
  <c r="V79" i="1"/>
  <c r="W79" i="1"/>
  <c r="X79" i="1"/>
  <c r="Y79" i="1"/>
  <c r="Q80" i="1"/>
  <c r="R80" i="1"/>
  <c r="S80" i="1"/>
  <c r="T80" i="1"/>
  <c r="U80" i="1"/>
  <c r="V80" i="1"/>
  <c r="W80" i="1"/>
  <c r="X80" i="1"/>
  <c r="Y80" i="1"/>
  <c r="Q81" i="1"/>
  <c r="R81" i="1"/>
  <c r="S81" i="1"/>
  <c r="T81" i="1"/>
  <c r="U81" i="1"/>
  <c r="V81" i="1"/>
  <c r="W81" i="1"/>
  <c r="X81" i="1"/>
  <c r="Y81" i="1"/>
  <c r="Q82" i="1"/>
  <c r="R82" i="1"/>
  <c r="S82" i="1"/>
  <c r="T82" i="1"/>
  <c r="U82" i="1"/>
  <c r="V82" i="1"/>
  <c r="W82" i="1"/>
  <c r="X82" i="1"/>
  <c r="Y82" i="1"/>
  <c r="Q83" i="1"/>
  <c r="R83" i="1"/>
  <c r="S83" i="1"/>
  <c r="T83" i="1"/>
  <c r="U83" i="1"/>
  <c r="V83" i="1"/>
  <c r="W83" i="1"/>
  <c r="X83" i="1"/>
  <c r="Y83" i="1"/>
  <c r="Q84" i="1"/>
  <c r="R84" i="1"/>
  <c r="S84" i="1"/>
  <c r="T84" i="1"/>
  <c r="U84" i="1"/>
  <c r="V84" i="1"/>
  <c r="W84" i="1"/>
  <c r="X84" i="1"/>
  <c r="Y84" i="1"/>
  <c r="Q85" i="1"/>
  <c r="R85" i="1"/>
  <c r="S85" i="1"/>
  <c r="T85" i="1"/>
  <c r="U85" i="1"/>
  <c r="V85" i="1"/>
  <c r="W85" i="1"/>
  <c r="X85" i="1"/>
  <c r="Y85" i="1"/>
  <c r="Q86" i="1"/>
  <c r="R86" i="1"/>
  <c r="S86" i="1"/>
  <c r="T86" i="1"/>
  <c r="U86" i="1"/>
  <c r="V86" i="1"/>
  <c r="W86" i="1"/>
  <c r="X86" i="1"/>
  <c r="Y86" i="1"/>
  <c r="Q87" i="1"/>
  <c r="R87" i="1"/>
  <c r="S87" i="1"/>
  <c r="T87" i="1"/>
  <c r="U87" i="1"/>
  <c r="V87" i="1"/>
  <c r="W87" i="1"/>
  <c r="X87" i="1"/>
  <c r="Y87" i="1"/>
  <c r="Q88" i="1"/>
  <c r="R88" i="1"/>
  <c r="S88" i="1"/>
  <c r="T88" i="1"/>
  <c r="U88" i="1"/>
  <c r="V88" i="1"/>
  <c r="W88" i="1"/>
  <c r="X88" i="1"/>
  <c r="Y88" i="1"/>
  <c r="Q89" i="1"/>
  <c r="R89" i="1"/>
  <c r="S89" i="1"/>
  <c r="T89" i="1"/>
  <c r="U89" i="1"/>
  <c r="V89" i="1"/>
  <c r="W89" i="1"/>
  <c r="X89" i="1"/>
  <c r="Y89" i="1"/>
  <c r="Q90" i="1"/>
  <c r="R90" i="1"/>
  <c r="S90" i="1"/>
  <c r="T90" i="1"/>
  <c r="U90" i="1"/>
  <c r="V90" i="1"/>
  <c r="W90" i="1"/>
  <c r="X90" i="1"/>
  <c r="Y90" i="1"/>
  <c r="Q91" i="1"/>
  <c r="R91" i="1"/>
  <c r="S91" i="1"/>
  <c r="T91" i="1"/>
  <c r="U91" i="1"/>
  <c r="V91" i="1"/>
  <c r="W91" i="1"/>
  <c r="X91" i="1"/>
  <c r="Y91" i="1"/>
  <c r="Q92" i="1"/>
  <c r="R92" i="1"/>
  <c r="S92" i="1"/>
  <c r="T92" i="1"/>
  <c r="U92" i="1"/>
  <c r="V92" i="1"/>
  <c r="W92" i="1"/>
  <c r="X92" i="1"/>
  <c r="Y92" i="1"/>
  <c r="Q93" i="1"/>
  <c r="R93" i="1"/>
  <c r="S93" i="1"/>
  <c r="T93" i="1"/>
  <c r="U93" i="1"/>
  <c r="V93" i="1"/>
  <c r="W93" i="1"/>
  <c r="X93" i="1"/>
  <c r="Y93" i="1"/>
  <c r="Q94" i="1"/>
  <c r="R94" i="1"/>
  <c r="S94" i="1"/>
  <c r="T94" i="1"/>
  <c r="U94" i="1"/>
  <c r="V94" i="1"/>
  <c r="W94" i="1"/>
  <c r="X94" i="1"/>
  <c r="Y94" i="1"/>
  <c r="Q95" i="1"/>
  <c r="R95" i="1"/>
  <c r="S95" i="1"/>
  <c r="T95" i="1"/>
  <c r="U95" i="1"/>
  <c r="V95" i="1"/>
  <c r="W95" i="1"/>
  <c r="X95" i="1"/>
  <c r="Y95" i="1"/>
  <c r="Q96" i="1"/>
  <c r="R96" i="1"/>
  <c r="S96" i="1"/>
  <c r="T96" i="1"/>
  <c r="U96" i="1"/>
  <c r="V96" i="1"/>
  <c r="W96" i="1"/>
  <c r="X96" i="1"/>
  <c r="Y96" i="1"/>
  <c r="Q97" i="1"/>
  <c r="R97" i="1"/>
  <c r="S97" i="1"/>
  <c r="T97" i="1"/>
  <c r="U97" i="1"/>
  <c r="V97" i="1"/>
  <c r="W97" i="1"/>
  <c r="X97" i="1"/>
  <c r="Y97" i="1"/>
  <c r="Q98" i="1"/>
  <c r="R98" i="1"/>
  <c r="S98" i="1"/>
  <c r="T98" i="1"/>
  <c r="U98" i="1"/>
  <c r="V98" i="1"/>
  <c r="W98" i="1"/>
  <c r="X98" i="1"/>
  <c r="Y98" i="1"/>
  <c r="Q99" i="1"/>
  <c r="R99" i="1"/>
  <c r="S99" i="1"/>
  <c r="T99" i="1"/>
  <c r="U99" i="1"/>
  <c r="V99" i="1"/>
  <c r="W99" i="1"/>
  <c r="X99" i="1"/>
  <c r="Y99" i="1"/>
  <c r="Q100" i="1"/>
  <c r="R100" i="1"/>
  <c r="S100" i="1"/>
  <c r="T100" i="1"/>
  <c r="U100" i="1"/>
  <c r="V100" i="1"/>
  <c r="W100" i="1"/>
  <c r="X100" i="1"/>
  <c r="Y100" i="1"/>
  <c r="Q101" i="1"/>
  <c r="R101" i="1"/>
  <c r="S101" i="1"/>
  <c r="T101" i="1"/>
  <c r="U101" i="1"/>
  <c r="V101" i="1"/>
  <c r="W101" i="1"/>
  <c r="X101" i="1"/>
  <c r="Y101" i="1"/>
  <c r="Q102" i="1"/>
  <c r="R102" i="1"/>
  <c r="S102" i="1"/>
  <c r="T102" i="1"/>
  <c r="U102" i="1"/>
  <c r="V102" i="1"/>
  <c r="W102" i="1"/>
  <c r="X102" i="1"/>
  <c r="Y102" i="1"/>
  <c r="Q103" i="1"/>
  <c r="R103" i="1"/>
  <c r="S103" i="1"/>
  <c r="T103" i="1"/>
  <c r="U103" i="1"/>
  <c r="V103" i="1"/>
  <c r="W103" i="1"/>
  <c r="X103" i="1"/>
  <c r="Y103" i="1"/>
  <c r="Q104" i="1"/>
  <c r="R104" i="1"/>
  <c r="S104" i="1"/>
  <c r="T104" i="1"/>
  <c r="U104" i="1"/>
  <c r="V104" i="1"/>
  <c r="W104" i="1"/>
  <c r="X104" i="1"/>
  <c r="Y104" i="1"/>
  <c r="Q105" i="1"/>
  <c r="R105" i="1"/>
  <c r="S105" i="1"/>
  <c r="T105" i="1"/>
  <c r="U105" i="1"/>
  <c r="V105" i="1"/>
  <c r="W105" i="1"/>
  <c r="X105" i="1"/>
  <c r="Y105" i="1"/>
  <c r="Q106" i="1"/>
  <c r="R106" i="1"/>
  <c r="S106" i="1"/>
  <c r="T106" i="1"/>
  <c r="U106" i="1"/>
  <c r="V106" i="1"/>
  <c r="W106" i="1"/>
  <c r="X106" i="1"/>
  <c r="Y106" i="1"/>
  <c r="Q107" i="1"/>
  <c r="R107" i="1"/>
  <c r="S107" i="1"/>
  <c r="T107" i="1"/>
  <c r="U107" i="1"/>
  <c r="V107" i="1"/>
  <c r="W107" i="1"/>
  <c r="X107" i="1"/>
  <c r="Y107" i="1"/>
  <c r="Q108" i="1"/>
  <c r="R108" i="1"/>
  <c r="S108" i="1"/>
  <c r="T108" i="1"/>
  <c r="U108" i="1"/>
  <c r="V108" i="1"/>
  <c r="W108" i="1"/>
  <c r="X108" i="1"/>
  <c r="Y108" i="1"/>
  <c r="Q109" i="1"/>
  <c r="R109" i="1"/>
  <c r="S109" i="1"/>
  <c r="T109" i="1"/>
  <c r="U109" i="1"/>
  <c r="V109" i="1"/>
  <c r="W109" i="1"/>
  <c r="X109" i="1"/>
  <c r="Y109" i="1"/>
  <c r="Q110" i="1"/>
  <c r="R110" i="1"/>
  <c r="S110" i="1"/>
  <c r="T110" i="1"/>
  <c r="U110" i="1"/>
  <c r="V110" i="1"/>
  <c r="W110" i="1"/>
  <c r="X110" i="1"/>
  <c r="Y110" i="1"/>
  <c r="Q111" i="1"/>
  <c r="R111" i="1"/>
  <c r="S111" i="1"/>
  <c r="T111" i="1"/>
  <c r="U111" i="1"/>
  <c r="V111" i="1"/>
  <c r="W111" i="1"/>
  <c r="X111" i="1"/>
  <c r="Y111" i="1"/>
  <c r="Q112" i="1"/>
  <c r="R112" i="1"/>
  <c r="S112" i="1"/>
  <c r="T112" i="1"/>
  <c r="U112" i="1"/>
  <c r="V112" i="1"/>
  <c r="W112" i="1"/>
  <c r="X112" i="1"/>
  <c r="Y112" i="1"/>
  <c r="Q113" i="1"/>
  <c r="R113" i="1"/>
  <c r="S113" i="1"/>
  <c r="T113" i="1"/>
  <c r="U113" i="1"/>
  <c r="V113" i="1"/>
  <c r="W113" i="1"/>
  <c r="X113" i="1"/>
  <c r="Y113" i="1"/>
  <c r="Q114" i="1"/>
  <c r="R114" i="1"/>
  <c r="S114" i="1"/>
  <c r="T114" i="1"/>
  <c r="U114" i="1"/>
  <c r="V114" i="1"/>
  <c r="W114" i="1"/>
  <c r="X114" i="1"/>
  <c r="Y114" i="1"/>
  <c r="Q115" i="1"/>
  <c r="R115" i="1"/>
  <c r="S115" i="1"/>
  <c r="T115" i="1"/>
  <c r="U115" i="1"/>
  <c r="V115" i="1"/>
  <c r="W115" i="1"/>
  <c r="X115" i="1"/>
  <c r="Y115" i="1"/>
  <c r="Q116" i="1"/>
  <c r="R116" i="1"/>
  <c r="S116" i="1"/>
  <c r="T116" i="1"/>
  <c r="U116" i="1"/>
  <c r="V116" i="1"/>
  <c r="W116" i="1"/>
  <c r="X116" i="1"/>
  <c r="Y116" i="1"/>
  <c r="Q117" i="1"/>
  <c r="R117" i="1"/>
  <c r="S117" i="1"/>
  <c r="T117" i="1"/>
  <c r="U117" i="1"/>
  <c r="V117" i="1"/>
  <c r="W117" i="1"/>
  <c r="X117" i="1"/>
  <c r="Y117" i="1"/>
  <c r="Q118" i="1"/>
  <c r="R118" i="1"/>
  <c r="S118" i="1"/>
  <c r="T118" i="1"/>
  <c r="U118" i="1"/>
  <c r="V118" i="1"/>
  <c r="W118" i="1"/>
  <c r="X118" i="1"/>
  <c r="Y118" i="1"/>
  <c r="Q119" i="1"/>
  <c r="R119" i="1"/>
  <c r="S119" i="1"/>
  <c r="T119" i="1"/>
  <c r="U119" i="1"/>
  <c r="V119" i="1"/>
  <c r="W119" i="1"/>
  <c r="X119" i="1"/>
  <c r="Y119" i="1"/>
  <c r="Q120" i="1"/>
  <c r="R120" i="1"/>
  <c r="S120" i="1"/>
  <c r="T120" i="1"/>
  <c r="U120" i="1"/>
  <c r="V120" i="1"/>
  <c r="W120" i="1"/>
  <c r="X120" i="1"/>
  <c r="Y120" i="1"/>
  <c r="Q121" i="1"/>
  <c r="R121" i="1"/>
  <c r="S121" i="1"/>
  <c r="T121" i="1"/>
  <c r="U121" i="1"/>
  <c r="V121" i="1"/>
  <c r="W121" i="1"/>
  <c r="X121" i="1"/>
  <c r="Y121" i="1"/>
  <c r="Q122" i="1"/>
  <c r="R122" i="1"/>
  <c r="S122" i="1"/>
  <c r="T122" i="1"/>
  <c r="U122" i="1"/>
  <c r="V122" i="1"/>
  <c r="W122" i="1"/>
  <c r="X122" i="1"/>
  <c r="Y122" i="1"/>
  <c r="Q123" i="1"/>
  <c r="R123" i="1"/>
  <c r="S123" i="1"/>
  <c r="T123" i="1"/>
  <c r="U123" i="1"/>
  <c r="V123" i="1"/>
  <c r="W123" i="1"/>
  <c r="X123" i="1"/>
  <c r="Y123" i="1"/>
  <c r="Q124" i="1"/>
  <c r="R124" i="1"/>
  <c r="S124" i="1"/>
  <c r="T124" i="1"/>
  <c r="U124" i="1"/>
  <c r="V124" i="1"/>
  <c r="W124" i="1"/>
  <c r="X124" i="1"/>
  <c r="Y124" i="1"/>
  <c r="Q125" i="1"/>
  <c r="R125" i="1"/>
  <c r="S125" i="1"/>
  <c r="T125" i="1"/>
  <c r="U125" i="1"/>
  <c r="V125" i="1"/>
  <c r="W125" i="1"/>
  <c r="X125" i="1"/>
  <c r="Y125" i="1"/>
  <c r="Q126" i="1"/>
  <c r="R126" i="1"/>
  <c r="S126" i="1"/>
  <c r="T126" i="1"/>
  <c r="U126" i="1"/>
  <c r="V126" i="1"/>
  <c r="W126" i="1"/>
  <c r="X126" i="1"/>
  <c r="Y126" i="1"/>
  <c r="Q127" i="1"/>
  <c r="R127" i="1"/>
  <c r="S127" i="1"/>
  <c r="T127" i="1"/>
  <c r="U127" i="1"/>
  <c r="V127" i="1"/>
  <c r="W127" i="1"/>
  <c r="X127" i="1"/>
  <c r="Y127" i="1"/>
  <c r="Q128" i="1"/>
  <c r="R128" i="1"/>
  <c r="S128" i="1"/>
  <c r="T128" i="1"/>
  <c r="U128" i="1"/>
  <c r="V128" i="1"/>
  <c r="W128" i="1"/>
  <c r="X128" i="1"/>
  <c r="Y128" i="1"/>
  <c r="Q129" i="1"/>
  <c r="R129" i="1"/>
  <c r="S129" i="1"/>
  <c r="T129" i="1"/>
  <c r="U129" i="1"/>
  <c r="V129" i="1"/>
  <c r="W129" i="1"/>
  <c r="X129" i="1"/>
  <c r="Y129" i="1"/>
  <c r="Q130" i="1"/>
  <c r="R130" i="1"/>
  <c r="S130" i="1"/>
  <c r="T130" i="1"/>
  <c r="U130" i="1"/>
  <c r="V130" i="1"/>
  <c r="W130" i="1"/>
  <c r="X130" i="1"/>
  <c r="Y130" i="1"/>
  <c r="Q131" i="1"/>
  <c r="R131" i="1"/>
  <c r="S131" i="1"/>
  <c r="T131" i="1"/>
  <c r="U131" i="1"/>
  <c r="V131" i="1"/>
  <c r="W131" i="1"/>
  <c r="X131" i="1"/>
  <c r="Y131" i="1"/>
  <c r="Q132" i="1"/>
  <c r="R132" i="1"/>
  <c r="S132" i="1"/>
  <c r="T132" i="1"/>
  <c r="U132" i="1"/>
  <c r="V132" i="1"/>
  <c r="W132" i="1"/>
  <c r="X132" i="1"/>
  <c r="Y132" i="1"/>
  <c r="Q133" i="1"/>
  <c r="R133" i="1"/>
  <c r="S133" i="1"/>
  <c r="T133" i="1"/>
  <c r="U133" i="1"/>
  <c r="V133" i="1"/>
  <c r="W133" i="1"/>
  <c r="X133" i="1"/>
  <c r="Y133" i="1"/>
  <c r="Q134" i="1"/>
  <c r="R134" i="1"/>
  <c r="S134" i="1"/>
  <c r="T134" i="1"/>
  <c r="U134" i="1"/>
  <c r="V134" i="1"/>
  <c r="W134" i="1"/>
  <c r="X134" i="1"/>
  <c r="Y134" i="1"/>
  <c r="Q135" i="1"/>
  <c r="R135" i="1"/>
  <c r="S135" i="1"/>
  <c r="T135" i="1"/>
  <c r="U135" i="1"/>
  <c r="V135" i="1"/>
  <c r="W135" i="1"/>
  <c r="X135" i="1"/>
  <c r="Y135" i="1"/>
  <c r="Q136" i="1"/>
  <c r="R136" i="1"/>
  <c r="S136" i="1"/>
  <c r="T136" i="1"/>
  <c r="U136" i="1"/>
  <c r="V136" i="1"/>
  <c r="W136" i="1"/>
  <c r="X136" i="1"/>
  <c r="Y136" i="1"/>
  <c r="Q137" i="1"/>
  <c r="R137" i="1"/>
  <c r="S137" i="1"/>
  <c r="T137" i="1"/>
  <c r="U137" i="1"/>
  <c r="V137" i="1"/>
  <c r="W137" i="1"/>
  <c r="X137" i="1"/>
  <c r="Y137" i="1"/>
  <c r="Q138" i="1"/>
  <c r="R138" i="1"/>
  <c r="S138" i="1"/>
  <c r="T138" i="1"/>
  <c r="U138" i="1"/>
  <c r="V138" i="1"/>
  <c r="W138" i="1"/>
  <c r="X138" i="1"/>
  <c r="Y138" i="1"/>
  <c r="Q139" i="1"/>
  <c r="R139" i="1"/>
  <c r="S139" i="1"/>
  <c r="T139" i="1"/>
  <c r="U139" i="1"/>
  <c r="V139" i="1"/>
  <c r="W139" i="1"/>
  <c r="X139" i="1"/>
  <c r="Y139" i="1"/>
  <c r="Q140" i="1"/>
  <c r="R140" i="1"/>
  <c r="S140" i="1"/>
  <c r="T140" i="1"/>
  <c r="U140" i="1"/>
  <c r="V140" i="1"/>
  <c r="W140" i="1"/>
  <c r="X140" i="1"/>
  <c r="Y140" i="1"/>
  <c r="Q141" i="1"/>
  <c r="R141" i="1"/>
  <c r="S141" i="1"/>
  <c r="T141" i="1"/>
  <c r="U141" i="1"/>
  <c r="V141" i="1"/>
  <c r="W141" i="1"/>
  <c r="X141" i="1"/>
  <c r="Y141" i="1"/>
  <c r="Q142" i="1"/>
  <c r="R142" i="1"/>
  <c r="S142" i="1"/>
  <c r="T142" i="1"/>
  <c r="U142" i="1"/>
  <c r="V142" i="1"/>
  <c r="W142" i="1"/>
  <c r="X142" i="1"/>
  <c r="Y142" i="1"/>
  <c r="Q143" i="1"/>
  <c r="R143" i="1"/>
  <c r="S143" i="1"/>
  <c r="T143" i="1"/>
  <c r="U143" i="1"/>
  <c r="V143" i="1"/>
  <c r="W143" i="1"/>
  <c r="X143" i="1"/>
  <c r="Y143" i="1"/>
  <c r="Q144" i="1"/>
  <c r="R144" i="1"/>
  <c r="S144" i="1"/>
  <c r="T144" i="1"/>
  <c r="U144" i="1"/>
  <c r="V144" i="1"/>
  <c r="W144" i="1"/>
  <c r="X144" i="1"/>
  <c r="Y144" i="1"/>
  <c r="Q145" i="1"/>
  <c r="R145" i="1"/>
  <c r="S145" i="1"/>
  <c r="T145" i="1"/>
  <c r="U145" i="1"/>
  <c r="V145" i="1"/>
  <c r="W145" i="1"/>
  <c r="X145" i="1"/>
  <c r="Y145" i="1"/>
  <c r="Q146" i="1"/>
  <c r="R146" i="1"/>
  <c r="S146" i="1"/>
  <c r="T146" i="1"/>
  <c r="U146" i="1"/>
  <c r="V146" i="1"/>
  <c r="W146" i="1"/>
  <c r="X146" i="1"/>
  <c r="Y146" i="1"/>
  <c r="Q147" i="1"/>
  <c r="R147" i="1"/>
  <c r="S147" i="1"/>
  <c r="T147" i="1"/>
  <c r="U147" i="1"/>
  <c r="V147" i="1"/>
  <c r="W147" i="1"/>
  <c r="X147" i="1"/>
  <c r="Y147" i="1"/>
  <c r="Q148" i="1"/>
  <c r="R148" i="1"/>
  <c r="S148" i="1"/>
  <c r="T148" i="1"/>
  <c r="U148" i="1"/>
  <c r="V148" i="1"/>
  <c r="W148" i="1"/>
  <c r="X148" i="1"/>
  <c r="Y148" i="1"/>
  <c r="Q149" i="1"/>
  <c r="R149" i="1"/>
  <c r="S149" i="1"/>
  <c r="T149" i="1"/>
  <c r="U149" i="1"/>
  <c r="V149" i="1"/>
  <c r="W149" i="1"/>
  <c r="X149" i="1"/>
  <c r="Y149" i="1"/>
  <c r="Q150" i="1"/>
  <c r="R150" i="1"/>
  <c r="S150" i="1"/>
  <c r="T150" i="1"/>
  <c r="U150" i="1"/>
  <c r="V150" i="1"/>
  <c r="W150" i="1"/>
  <c r="X150" i="1"/>
  <c r="Y150" i="1"/>
  <c r="Q151" i="1"/>
  <c r="R151" i="1"/>
  <c r="S151" i="1"/>
  <c r="T151" i="1"/>
  <c r="U151" i="1"/>
  <c r="V151" i="1"/>
  <c r="W151" i="1"/>
  <c r="X151" i="1"/>
  <c r="Y151" i="1"/>
  <c r="Q152" i="1"/>
  <c r="R152" i="1"/>
  <c r="S152" i="1"/>
  <c r="T152" i="1"/>
  <c r="U152" i="1"/>
  <c r="V152" i="1"/>
  <c r="W152" i="1"/>
  <c r="X152" i="1"/>
  <c r="Y152" i="1"/>
  <c r="Q153" i="1"/>
  <c r="R153" i="1"/>
  <c r="S153" i="1"/>
  <c r="T153" i="1"/>
  <c r="U153" i="1"/>
  <c r="V153" i="1"/>
  <c r="W153" i="1"/>
  <c r="X153" i="1"/>
  <c r="Y153" i="1"/>
  <c r="Q154" i="1"/>
  <c r="R154" i="1"/>
  <c r="S154" i="1"/>
  <c r="T154" i="1"/>
  <c r="U154" i="1"/>
  <c r="V154" i="1"/>
  <c r="W154" i="1"/>
  <c r="X154" i="1"/>
  <c r="Y154" i="1"/>
  <c r="Q155" i="1"/>
  <c r="R155" i="1"/>
  <c r="S155" i="1"/>
  <c r="T155" i="1"/>
  <c r="U155" i="1"/>
  <c r="V155" i="1"/>
  <c r="W155" i="1"/>
  <c r="X155" i="1"/>
  <c r="Y155" i="1"/>
  <c r="Q156" i="1"/>
  <c r="R156" i="1"/>
  <c r="S156" i="1"/>
  <c r="T156" i="1"/>
  <c r="U156" i="1"/>
  <c r="V156" i="1"/>
  <c r="W156" i="1"/>
  <c r="X156" i="1"/>
  <c r="Y156" i="1"/>
  <c r="Q157" i="1"/>
  <c r="R157" i="1"/>
  <c r="S157" i="1"/>
  <c r="T157" i="1"/>
  <c r="U157" i="1"/>
  <c r="V157" i="1"/>
  <c r="W157" i="1"/>
  <c r="X157" i="1"/>
  <c r="Y157" i="1"/>
  <c r="Q158" i="1"/>
  <c r="R158" i="1"/>
  <c r="S158" i="1"/>
  <c r="T158" i="1"/>
  <c r="U158" i="1"/>
  <c r="V158" i="1"/>
  <c r="W158" i="1"/>
  <c r="X158" i="1"/>
  <c r="Y158" i="1"/>
  <c r="Q159" i="1"/>
  <c r="R159" i="1"/>
  <c r="S159" i="1"/>
  <c r="T159" i="1"/>
  <c r="U159" i="1"/>
  <c r="V159" i="1"/>
  <c r="W159" i="1"/>
  <c r="X159" i="1"/>
  <c r="Y159" i="1"/>
  <c r="Q160" i="1"/>
  <c r="R160" i="1"/>
  <c r="S160" i="1"/>
  <c r="T160" i="1"/>
  <c r="U160" i="1"/>
  <c r="V160" i="1"/>
  <c r="W160" i="1"/>
  <c r="X160" i="1"/>
  <c r="Y160" i="1"/>
  <c r="Q161" i="1"/>
  <c r="R161" i="1"/>
  <c r="S161" i="1"/>
  <c r="T161" i="1"/>
  <c r="U161" i="1"/>
  <c r="V161" i="1"/>
  <c r="W161" i="1"/>
  <c r="X161" i="1"/>
  <c r="Y161" i="1"/>
  <c r="Q162" i="1"/>
  <c r="R162" i="1"/>
  <c r="S162" i="1"/>
  <c r="T162" i="1"/>
  <c r="U162" i="1"/>
  <c r="V162" i="1"/>
  <c r="W162" i="1"/>
  <c r="X162" i="1"/>
  <c r="Y162" i="1"/>
  <c r="Q163" i="1"/>
  <c r="R163" i="1"/>
  <c r="S163" i="1"/>
  <c r="T163" i="1"/>
  <c r="U163" i="1"/>
  <c r="V163" i="1"/>
  <c r="W163" i="1"/>
  <c r="X163" i="1"/>
  <c r="Y163" i="1"/>
  <c r="Q164" i="1"/>
  <c r="R164" i="1"/>
  <c r="S164" i="1"/>
  <c r="T164" i="1"/>
  <c r="U164" i="1"/>
  <c r="V164" i="1"/>
  <c r="W164" i="1"/>
  <c r="X164" i="1"/>
  <c r="Y164" i="1"/>
  <c r="Q165" i="1"/>
  <c r="R165" i="1"/>
  <c r="S165" i="1"/>
  <c r="T165" i="1"/>
  <c r="U165" i="1"/>
  <c r="V165" i="1"/>
  <c r="W165" i="1"/>
  <c r="X165" i="1"/>
  <c r="Y165" i="1"/>
  <c r="Q166" i="1"/>
  <c r="R166" i="1"/>
  <c r="S166" i="1"/>
  <c r="T166" i="1"/>
  <c r="U166" i="1"/>
  <c r="V166" i="1"/>
  <c r="W166" i="1"/>
  <c r="X166" i="1"/>
  <c r="Y166" i="1"/>
  <c r="Q167" i="1"/>
  <c r="R167" i="1"/>
  <c r="S167" i="1"/>
  <c r="T167" i="1"/>
  <c r="U167" i="1"/>
  <c r="V167" i="1"/>
  <c r="W167" i="1"/>
  <c r="X167" i="1"/>
  <c r="Y167" i="1"/>
  <c r="Q168" i="1"/>
  <c r="R168" i="1"/>
  <c r="S168" i="1"/>
  <c r="T168" i="1"/>
  <c r="U168" i="1"/>
  <c r="V168" i="1"/>
  <c r="W168" i="1"/>
  <c r="X168" i="1"/>
  <c r="Y168" i="1"/>
  <c r="Q169" i="1"/>
  <c r="R169" i="1"/>
  <c r="S169" i="1"/>
  <c r="T169" i="1"/>
  <c r="U169" i="1"/>
  <c r="V169" i="1"/>
  <c r="W169" i="1"/>
  <c r="X169" i="1"/>
  <c r="Y169" i="1"/>
  <c r="Q170" i="1"/>
  <c r="R170" i="1"/>
  <c r="S170" i="1"/>
  <c r="T170" i="1"/>
  <c r="U170" i="1"/>
  <c r="V170" i="1"/>
  <c r="W170" i="1"/>
  <c r="X170" i="1"/>
  <c r="Y170" i="1"/>
  <c r="Q171" i="1"/>
  <c r="R171" i="1"/>
  <c r="S171" i="1"/>
  <c r="T171" i="1"/>
  <c r="U171" i="1"/>
  <c r="V171" i="1"/>
  <c r="W171" i="1"/>
  <c r="X171" i="1"/>
  <c r="Y171" i="1"/>
  <c r="Q172" i="1"/>
  <c r="R172" i="1"/>
  <c r="S172" i="1"/>
  <c r="T172" i="1"/>
  <c r="U172" i="1"/>
  <c r="V172" i="1"/>
  <c r="W172" i="1"/>
  <c r="X172" i="1"/>
  <c r="Y172" i="1"/>
  <c r="Q173" i="1"/>
  <c r="R173" i="1"/>
  <c r="S173" i="1"/>
  <c r="T173" i="1"/>
  <c r="U173" i="1"/>
  <c r="V173" i="1"/>
  <c r="W173" i="1"/>
  <c r="X173" i="1"/>
  <c r="Y173" i="1"/>
  <c r="Q174" i="1"/>
  <c r="R174" i="1"/>
  <c r="S174" i="1"/>
  <c r="T174" i="1"/>
  <c r="U174" i="1"/>
  <c r="V174" i="1"/>
  <c r="W174" i="1"/>
  <c r="X174" i="1"/>
  <c r="Y174" i="1"/>
  <c r="Q175" i="1"/>
  <c r="R175" i="1"/>
  <c r="S175" i="1"/>
  <c r="T175" i="1"/>
  <c r="U175" i="1"/>
  <c r="V175" i="1"/>
  <c r="W175" i="1"/>
  <c r="X175" i="1"/>
  <c r="Y175" i="1"/>
  <c r="Q176" i="1"/>
  <c r="R176" i="1"/>
  <c r="S176" i="1"/>
  <c r="T176" i="1"/>
  <c r="U176" i="1"/>
  <c r="V176" i="1"/>
  <c r="W176" i="1"/>
  <c r="X176" i="1"/>
  <c r="Y176" i="1"/>
  <c r="Q177" i="1"/>
  <c r="R177" i="1"/>
  <c r="S177" i="1"/>
  <c r="T177" i="1"/>
  <c r="U177" i="1"/>
  <c r="V177" i="1"/>
  <c r="W177" i="1"/>
  <c r="X177" i="1"/>
  <c r="Y177" i="1"/>
  <c r="Q178" i="1"/>
  <c r="R178" i="1"/>
  <c r="S178" i="1"/>
  <c r="T178" i="1"/>
  <c r="U178" i="1"/>
  <c r="V178" i="1"/>
  <c r="W178" i="1"/>
  <c r="X178" i="1"/>
  <c r="Y178" i="1"/>
  <c r="Q179" i="1"/>
  <c r="R179" i="1"/>
  <c r="S179" i="1"/>
  <c r="T179" i="1"/>
  <c r="U179" i="1"/>
  <c r="V179" i="1"/>
  <c r="W179" i="1"/>
  <c r="X179" i="1"/>
  <c r="Y179" i="1"/>
  <c r="Q180" i="1"/>
  <c r="R180" i="1"/>
  <c r="S180" i="1"/>
  <c r="T180" i="1"/>
  <c r="U180" i="1"/>
  <c r="V180" i="1"/>
  <c r="W180" i="1"/>
  <c r="X180" i="1"/>
  <c r="Y180" i="1"/>
  <c r="Q181" i="1"/>
  <c r="R181" i="1"/>
  <c r="S181" i="1"/>
  <c r="T181" i="1"/>
  <c r="U181" i="1"/>
  <c r="V181" i="1"/>
  <c r="W181" i="1"/>
  <c r="X181" i="1"/>
  <c r="Y181" i="1"/>
  <c r="Q182" i="1"/>
  <c r="R182" i="1"/>
  <c r="S182" i="1"/>
  <c r="T182" i="1"/>
  <c r="U182" i="1"/>
  <c r="V182" i="1"/>
  <c r="W182" i="1"/>
  <c r="X182" i="1"/>
  <c r="Y182" i="1"/>
  <c r="Q183" i="1"/>
  <c r="R183" i="1"/>
  <c r="S183" i="1"/>
  <c r="T183" i="1"/>
  <c r="U183" i="1"/>
  <c r="V183" i="1"/>
  <c r="W183" i="1"/>
  <c r="X183" i="1"/>
  <c r="Y183" i="1"/>
  <c r="Q184" i="1"/>
  <c r="R184" i="1"/>
  <c r="S184" i="1"/>
  <c r="T184" i="1"/>
  <c r="U184" i="1"/>
  <c r="V184" i="1"/>
  <c r="W184" i="1"/>
  <c r="X184" i="1"/>
  <c r="Y184" i="1"/>
  <c r="Q185" i="1"/>
  <c r="R185" i="1"/>
  <c r="S185" i="1"/>
  <c r="T185" i="1"/>
  <c r="U185" i="1"/>
  <c r="V185" i="1"/>
  <c r="W185" i="1"/>
  <c r="X185" i="1"/>
  <c r="Y185" i="1"/>
  <c r="Q186" i="1"/>
  <c r="R186" i="1"/>
  <c r="S186" i="1"/>
  <c r="T186" i="1"/>
  <c r="U186" i="1"/>
  <c r="V186" i="1"/>
  <c r="W186" i="1"/>
  <c r="X186" i="1"/>
  <c r="Y186" i="1"/>
  <c r="Q187" i="1"/>
  <c r="R187" i="1"/>
  <c r="S187" i="1"/>
  <c r="T187" i="1"/>
  <c r="U187" i="1"/>
  <c r="V187" i="1"/>
  <c r="W187" i="1"/>
  <c r="X187" i="1"/>
  <c r="Y187" i="1"/>
  <c r="Q188" i="1"/>
  <c r="R188" i="1"/>
  <c r="S188" i="1"/>
  <c r="T188" i="1"/>
  <c r="U188" i="1"/>
  <c r="V188" i="1"/>
  <c r="W188" i="1"/>
  <c r="X188" i="1"/>
  <c r="Y188" i="1"/>
  <c r="Q189" i="1"/>
  <c r="R189" i="1"/>
  <c r="S189" i="1"/>
  <c r="T189" i="1"/>
  <c r="U189" i="1"/>
  <c r="V189" i="1"/>
  <c r="W189" i="1"/>
  <c r="X189" i="1"/>
  <c r="Y189" i="1"/>
  <c r="Q190" i="1"/>
  <c r="R190" i="1"/>
  <c r="S190" i="1"/>
  <c r="T190" i="1"/>
  <c r="U190" i="1"/>
  <c r="V190" i="1"/>
  <c r="W190" i="1"/>
  <c r="X190" i="1"/>
  <c r="Y190" i="1"/>
  <c r="Q191" i="1"/>
  <c r="R191" i="1"/>
  <c r="S191" i="1"/>
  <c r="T191" i="1"/>
  <c r="U191" i="1"/>
  <c r="V191" i="1"/>
  <c r="W191" i="1"/>
  <c r="X191" i="1"/>
  <c r="Y191" i="1"/>
  <c r="Q192" i="1"/>
  <c r="R192" i="1"/>
  <c r="S192" i="1"/>
  <c r="T192" i="1"/>
  <c r="U192" i="1"/>
  <c r="V192" i="1"/>
  <c r="W192" i="1"/>
  <c r="X192" i="1"/>
  <c r="Y192" i="1"/>
  <c r="Q193" i="1"/>
  <c r="R193" i="1"/>
  <c r="S193" i="1"/>
  <c r="T193" i="1"/>
  <c r="U193" i="1"/>
  <c r="V193" i="1"/>
  <c r="W193" i="1"/>
  <c r="X193" i="1"/>
  <c r="Y193" i="1"/>
  <c r="Q194" i="1"/>
  <c r="R194" i="1"/>
  <c r="S194" i="1"/>
  <c r="T194" i="1"/>
  <c r="U194" i="1"/>
  <c r="V194" i="1"/>
  <c r="W194" i="1"/>
  <c r="X194" i="1"/>
  <c r="Y194" i="1"/>
  <c r="Q195" i="1"/>
  <c r="R195" i="1"/>
  <c r="S195" i="1"/>
  <c r="T195" i="1"/>
  <c r="U195" i="1"/>
  <c r="V195" i="1"/>
  <c r="W195" i="1"/>
  <c r="X195" i="1"/>
  <c r="Y195" i="1"/>
  <c r="Q196" i="1"/>
  <c r="R196" i="1"/>
  <c r="S196" i="1"/>
  <c r="T196" i="1"/>
  <c r="U196" i="1"/>
  <c r="V196" i="1"/>
  <c r="W196" i="1"/>
  <c r="X196" i="1"/>
  <c r="Y196" i="1"/>
  <c r="Q197" i="1"/>
  <c r="R197" i="1"/>
  <c r="S197" i="1"/>
  <c r="T197" i="1"/>
  <c r="U197" i="1"/>
  <c r="V197" i="1"/>
  <c r="W197" i="1"/>
  <c r="X197" i="1"/>
  <c r="Y197" i="1"/>
  <c r="Q198" i="1"/>
  <c r="R198" i="1"/>
  <c r="S198" i="1"/>
  <c r="T198" i="1"/>
  <c r="U198" i="1"/>
  <c r="V198" i="1"/>
  <c r="W198" i="1"/>
  <c r="X198" i="1"/>
  <c r="Y198" i="1"/>
  <c r="Q199" i="1"/>
  <c r="R199" i="1"/>
  <c r="S199" i="1"/>
  <c r="T199" i="1"/>
  <c r="U199" i="1"/>
  <c r="V199" i="1"/>
  <c r="W199" i="1"/>
  <c r="X199" i="1"/>
  <c r="Y199" i="1"/>
  <c r="Q200" i="1"/>
  <c r="R200" i="1"/>
  <c r="S200" i="1"/>
  <c r="T200" i="1"/>
  <c r="U200" i="1"/>
  <c r="V200" i="1"/>
  <c r="W200" i="1"/>
  <c r="X200" i="1"/>
  <c r="Y200" i="1"/>
  <c r="Q201" i="1"/>
  <c r="R201" i="1"/>
  <c r="S201" i="1"/>
  <c r="T201" i="1"/>
  <c r="U201" i="1"/>
  <c r="V201" i="1"/>
  <c r="W201" i="1"/>
  <c r="X201" i="1"/>
  <c r="Y201" i="1"/>
  <c r="Q202" i="1"/>
  <c r="R202" i="1"/>
  <c r="S202" i="1"/>
  <c r="T202" i="1"/>
  <c r="U202" i="1"/>
  <c r="V202" i="1"/>
  <c r="W202" i="1"/>
  <c r="X202" i="1"/>
  <c r="Y202" i="1"/>
  <c r="Q203" i="1"/>
  <c r="R203" i="1"/>
  <c r="S203" i="1"/>
  <c r="T203" i="1"/>
  <c r="U203" i="1"/>
  <c r="V203" i="1"/>
  <c r="W203" i="1"/>
  <c r="X203" i="1"/>
  <c r="Y203" i="1"/>
  <c r="Q204" i="1"/>
  <c r="R204" i="1"/>
  <c r="S204" i="1"/>
  <c r="T204" i="1"/>
  <c r="U204" i="1"/>
  <c r="V204" i="1"/>
  <c r="W204" i="1"/>
  <c r="X204" i="1"/>
  <c r="Y204" i="1"/>
  <c r="Q205" i="1"/>
  <c r="R205" i="1"/>
  <c r="S205" i="1"/>
  <c r="T205" i="1"/>
  <c r="U205" i="1"/>
  <c r="V205" i="1"/>
  <c r="W205" i="1"/>
  <c r="X205" i="1"/>
  <c r="Y205" i="1"/>
  <c r="Q206" i="1"/>
  <c r="R206" i="1"/>
  <c r="S206" i="1"/>
  <c r="T206" i="1"/>
  <c r="U206" i="1"/>
  <c r="V206" i="1"/>
  <c r="W206" i="1"/>
  <c r="X206" i="1"/>
  <c r="Y206" i="1"/>
  <c r="Q207" i="1"/>
  <c r="R207" i="1"/>
  <c r="S207" i="1"/>
  <c r="T207" i="1"/>
  <c r="U207" i="1"/>
  <c r="V207" i="1"/>
  <c r="W207" i="1"/>
  <c r="X207" i="1"/>
  <c r="Y207" i="1"/>
  <c r="Q208" i="1"/>
  <c r="R208" i="1"/>
  <c r="S208" i="1"/>
  <c r="T208" i="1"/>
  <c r="U208" i="1"/>
  <c r="V208" i="1"/>
  <c r="W208" i="1"/>
  <c r="X208" i="1"/>
  <c r="Y208" i="1"/>
  <c r="Q209" i="1"/>
  <c r="R209" i="1"/>
  <c r="S209" i="1"/>
  <c r="T209" i="1"/>
  <c r="U209" i="1"/>
  <c r="V209" i="1"/>
  <c r="W209" i="1"/>
  <c r="X209" i="1"/>
  <c r="Y209" i="1"/>
  <c r="Q210" i="1"/>
  <c r="R210" i="1"/>
  <c r="S210" i="1"/>
  <c r="T210" i="1"/>
  <c r="U210" i="1"/>
  <c r="V210" i="1"/>
  <c r="W210" i="1"/>
  <c r="X210" i="1"/>
  <c r="Y210" i="1"/>
  <c r="Q211" i="1"/>
  <c r="R211" i="1"/>
  <c r="S211" i="1"/>
  <c r="T211" i="1"/>
  <c r="U211" i="1"/>
  <c r="V211" i="1"/>
  <c r="W211" i="1"/>
  <c r="X211" i="1"/>
  <c r="Y211" i="1"/>
  <c r="Q212" i="1"/>
  <c r="R212" i="1"/>
  <c r="S212" i="1"/>
  <c r="T212" i="1"/>
  <c r="U212" i="1"/>
  <c r="V212" i="1"/>
  <c r="W212" i="1"/>
  <c r="X212" i="1"/>
  <c r="Y212" i="1"/>
  <c r="Q213" i="1"/>
  <c r="R213" i="1"/>
  <c r="S213" i="1"/>
  <c r="T213" i="1"/>
  <c r="U213" i="1"/>
  <c r="V213" i="1"/>
  <c r="W213" i="1"/>
  <c r="X213" i="1"/>
  <c r="Y213" i="1"/>
  <c r="Q214" i="1"/>
  <c r="R214" i="1"/>
  <c r="S214" i="1"/>
  <c r="T214" i="1"/>
  <c r="U214" i="1"/>
  <c r="V214" i="1"/>
  <c r="W214" i="1"/>
  <c r="X214" i="1"/>
  <c r="Y214" i="1"/>
  <c r="Q215" i="1"/>
  <c r="R215" i="1"/>
  <c r="S215" i="1"/>
  <c r="T215" i="1"/>
  <c r="U215" i="1"/>
  <c r="V215" i="1"/>
  <c r="W215" i="1"/>
  <c r="X215" i="1"/>
  <c r="Y215" i="1"/>
  <c r="Q216" i="1"/>
  <c r="R216" i="1"/>
  <c r="S216" i="1"/>
  <c r="T216" i="1"/>
  <c r="U216" i="1"/>
  <c r="V216" i="1"/>
  <c r="W216" i="1"/>
  <c r="X216" i="1"/>
  <c r="Y216" i="1"/>
  <c r="Q217" i="1"/>
  <c r="R217" i="1"/>
  <c r="S217" i="1"/>
  <c r="T217" i="1"/>
  <c r="U217" i="1"/>
  <c r="V217" i="1"/>
  <c r="W217" i="1"/>
  <c r="X217" i="1"/>
  <c r="Y217" i="1"/>
  <c r="Q218" i="1"/>
  <c r="R218" i="1"/>
  <c r="S218" i="1"/>
  <c r="T218" i="1"/>
  <c r="U218" i="1"/>
  <c r="V218" i="1"/>
  <c r="W218" i="1"/>
  <c r="X218" i="1"/>
  <c r="Y218" i="1"/>
  <c r="Q219" i="1"/>
  <c r="R219" i="1"/>
  <c r="S219" i="1"/>
  <c r="T219" i="1"/>
  <c r="U219" i="1"/>
  <c r="V219" i="1"/>
  <c r="W219" i="1"/>
  <c r="X219" i="1"/>
  <c r="Y219" i="1"/>
  <c r="Q220" i="1"/>
  <c r="R220" i="1"/>
  <c r="S220" i="1"/>
  <c r="T220" i="1"/>
  <c r="U220" i="1"/>
  <c r="V220" i="1"/>
  <c r="W220" i="1"/>
  <c r="X220" i="1"/>
  <c r="Y220" i="1"/>
  <c r="Q221" i="1"/>
  <c r="R221" i="1"/>
  <c r="S221" i="1"/>
  <c r="T221" i="1"/>
  <c r="U221" i="1"/>
  <c r="V221" i="1"/>
  <c r="W221" i="1"/>
  <c r="X221" i="1"/>
  <c r="Y221" i="1"/>
  <c r="Q222" i="1"/>
  <c r="R222" i="1"/>
  <c r="S222" i="1"/>
  <c r="T222" i="1"/>
  <c r="U222" i="1"/>
  <c r="V222" i="1"/>
  <c r="W222" i="1"/>
  <c r="X222" i="1"/>
  <c r="Y222" i="1"/>
  <c r="Q223" i="1"/>
  <c r="R223" i="1"/>
  <c r="S223" i="1"/>
  <c r="T223" i="1"/>
  <c r="U223" i="1"/>
  <c r="V223" i="1"/>
  <c r="W223" i="1"/>
  <c r="X223" i="1"/>
  <c r="Y223" i="1"/>
  <c r="Q224" i="1"/>
  <c r="R224" i="1"/>
  <c r="S224" i="1"/>
  <c r="T224" i="1"/>
  <c r="U224" i="1"/>
  <c r="V224" i="1"/>
  <c r="W224" i="1"/>
  <c r="X224" i="1"/>
  <c r="Y224" i="1"/>
  <c r="Q225" i="1"/>
  <c r="R225" i="1"/>
  <c r="S225" i="1"/>
  <c r="T225" i="1"/>
  <c r="U225" i="1"/>
  <c r="V225" i="1"/>
  <c r="W225" i="1"/>
  <c r="X225" i="1"/>
  <c r="Y225" i="1"/>
  <c r="Q226" i="1"/>
  <c r="R226" i="1"/>
  <c r="S226" i="1"/>
  <c r="T226" i="1"/>
  <c r="U226" i="1"/>
  <c r="V226" i="1"/>
  <c r="W226" i="1"/>
  <c r="X226" i="1"/>
  <c r="Y226" i="1"/>
  <c r="Q227" i="1"/>
  <c r="R227" i="1"/>
  <c r="S227" i="1"/>
  <c r="T227" i="1"/>
  <c r="U227" i="1"/>
  <c r="V227" i="1"/>
  <c r="W227" i="1"/>
  <c r="X227" i="1"/>
  <c r="Y227" i="1"/>
  <c r="Q228" i="1"/>
  <c r="R228" i="1"/>
  <c r="S228" i="1"/>
  <c r="T228" i="1"/>
  <c r="U228" i="1"/>
  <c r="V228" i="1"/>
  <c r="W228" i="1"/>
  <c r="X228" i="1"/>
  <c r="Y228" i="1"/>
  <c r="Q229" i="1"/>
  <c r="R229" i="1"/>
  <c r="S229" i="1"/>
  <c r="T229" i="1"/>
  <c r="U229" i="1"/>
  <c r="V229" i="1"/>
  <c r="W229" i="1"/>
  <c r="X229" i="1"/>
  <c r="Y229" i="1"/>
  <c r="Q230" i="1"/>
  <c r="R230" i="1"/>
  <c r="S230" i="1"/>
  <c r="T230" i="1"/>
  <c r="U230" i="1"/>
  <c r="V230" i="1"/>
  <c r="W230" i="1"/>
  <c r="X230" i="1"/>
  <c r="Y230" i="1"/>
  <c r="Q231" i="1"/>
  <c r="R231" i="1"/>
  <c r="S231" i="1"/>
  <c r="T231" i="1"/>
  <c r="U231" i="1"/>
  <c r="V231" i="1"/>
  <c r="W231" i="1"/>
  <c r="X231" i="1"/>
  <c r="Y231" i="1"/>
  <c r="Q232" i="1"/>
  <c r="R232" i="1"/>
  <c r="S232" i="1"/>
  <c r="T232" i="1"/>
  <c r="U232" i="1"/>
  <c r="V232" i="1"/>
  <c r="W232" i="1"/>
  <c r="X232" i="1"/>
  <c r="Y232" i="1"/>
  <c r="Q233" i="1"/>
  <c r="R233" i="1"/>
  <c r="S233" i="1"/>
  <c r="T233" i="1"/>
  <c r="U233" i="1"/>
  <c r="V233" i="1"/>
  <c r="W233" i="1"/>
  <c r="X233" i="1"/>
  <c r="Y233" i="1"/>
  <c r="Q234" i="1"/>
  <c r="R234" i="1"/>
  <c r="S234" i="1"/>
  <c r="T234" i="1"/>
  <c r="U234" i="1"/>
  <c r="V234" i="1"/>
  <c r="W234" i="1"/>
  <c r="X234" i="1"/>
  <c r="Y234" i="1"/>
  <c r="Q235" i="1"/>
  <c r="R235" i="1"/>
  <c r="S235" i="1"/>
  <c r="T235" i="1"/>
  <c r="U235" i="1"/>
  <c r="V235" i="1"/>
  <c r="W235" i="1"/>
  <c r="X235" i="1"/>
  <c r="Y235" i="1"/>
  <c r="Q236" i="1"/>
  <c r="R236" i="1"/>
  <c r="S236" i="1"/>
  <c r="T236" i="1"/>
  <c r="U236" i="1"/>
  <c r="V236" i="1"/>
  <c r="W236" i="1"/>
  <c r="X236" i="1"/>
  <c r="Y236" i="1"/>
  <c r="Q237" i="1"/>
  <c r="R237" i="1"/>
  <c r="S237" i="1"/>
  <c r="T237" i="1"/>
  <c r="U237" i="1"/>
  <c r="V237" i="1"/>
  <c r="W237" i="1"/>
  <c r="X237" i="1"/>
  <c r="Y237" i="1"/>
  <c r="Q238" i="1"/>
  <c r="R238" i="1"/>
  <c r="S238" i="1"/>
  <c r="T238" i="1"/>
  <c r="U238" i="1"/>
  <c r="V238" i="1"/>
  <c r="W238" i="1"/>
  <c r="X238" i="1"/>
  <c r="Y238" i="1"/>
  <c r="Q239" i="1"/>
  <c r="R239" i="1"/>
  <c r="S239" i="1"/>
  <c r="T239" i="1"/>
  <c r="U239" i="1"/>
  <c r="V239" i="1"/>
  <c r="W239" i="1"/>
  <c r="X239" i="1"/>
  <c r="Y239" i="1"/>
  <c r="Q240" i="1"/>
  <c r="R240" i="1"/>
  <c r="S240" i="1"/>
  <c r="T240" i="1"/>
  <c r="U240" i="1"/>
  <c r="V240" i="1"/>
  <c r="W240" i="1"/>
  <c r="X240" i="1"/>
  <c r="Y240" i="1"/>
  <c r="Q241" i="1"/>
  <c r="R241" i="1"/>
  <c r="S241" i="1"/>
  <c r="T241" i="1"/>
  <c r="U241" i="1"/>
  <c r="V241" i="1"/>
  <c r="W241" i="1"/>
  <c r="X241" i="1"/>
  <c r="Y241" i="1"/>
  <c r="Q242" i="1"/>
  <c r="R242" i="1"/>
  <c r="S242" i="1"/>
  <c r="T242" i="1"/>
  <c r="U242" i="1"/>
  <c r="V242" i="1"/>
  <c r="W242" i="1"/>
  <c r="X242" i="1"/>
  <c r="Y242" i="1"/>
  <c r="Q243" i="1"/>
  <c r="R243" i="1"/>
  <c r="S243" i="1"/>
  <c r="T243" i="1"/>
  <c r="U243" i="1"/>
  <c r="V243" i="1"/>
  <c r="W243" i="1"/>
  <c r="X243" i="1"/>
  <c r="Y243" i="1"/>
  <c r="Q244" i="1"/>
  <c r="R244" i="1"/>
  <c r="S244" i="1"/>
  <c r="T244" i="1"/>
  <c r="U244" i="1"/>
  <c r="V244" i="1"/>
  <c r="W244" i="1"/>
  <c r="X244" i="1"/>
  <c r="Y244" i="1"/>
  <c r="Q245" i="1"/>
  <c r="R245" i="1"/>
  <c r="S245" i="1"/>
  <c r="T245" i="1"/>
  <c r="U245" i="1"/>
  <c r="V245" i="1"/>
  <c r="W245" i="1"/>
  <c r="X245" i="1"/>
  <c r="Y245" i="1"/>
  <c r="Q246" i="1"/>
  <c r="R246" i="1"/>
  <c r="S246" i="1"/>
  <c r="T246" i="1"/>
  <c r="U246" i="1"/>
  <c r="V246" i="1"/>
  <c r="W246" i="1"/>
  <c r="X246" i="1"/>
  <c r="Y246" i="1"/>
  <c r="Q247" i="1"/>
  <c r="R247" i="1"/>
  <c r="S247" i="1"/>
  <c r="T247" i="1"/>
  <c r="U247" i="1"/>
  <c r="V247" i="1"/>
  <c r="W247" i="1"/>
  <c r="X247" i="1"/>
  <c r="Y247" i="1"/>
  <c r="Q248" i="1"/>
  <c r="R248" i="1"/>
  <c r="S248" i="1"/>
  <c r="T248" i="1"/>
  <c r="U248" i="1"/>
  <c r="V248" i="1"/>
  <c r="W248" i="1"/>
  <c r="X248" i="1"/>
  <c r="Y248" i="1"/>
  <c r="Q249" i="1"/>
  <c r="R249" i="1"/>
  <c r="S249" i="1"/>
  <c r="T249" i="1"/>
  <c r="U249" i="1"/>
  <c r="V249" i="1"/>
  <c r="W249" i="1"/>
  <c r="X249" i="1"/>
  <c r="Y249" i="1"/>
  <c r="Q250" i="1"/>
  <c r="R250" i="1"/>
  <c r="S250" i="1"/>
  <c r="T250" i="1"/>
  <c r="U250" i="1"/>
  <c r="V250" i="1"/>
  <c r="W250" i="1"/>
  <c r="X250" i="1"/>
  <c r="Y250" i="1"/>
  <c r="Q251" i="1"/>
  <c r="R251" i="1"/>
  <c r="S251" i="1"/>
  <c r="T251" i="1"/>
  <c r="U251" i="1"/>
  <c r="V251" i="1"/>
  <c r="W251" i="1"/>
  <c r="X251" i="1"/>
  <c r="Y251" i="1"/>
  <c r="Q252" i="1"/>
  <c r="R252" i="1"/>
  <c r="S252" i="1"/>
  <c r="T252" i="1"/>
  <c r="U252" i="1"/>
  <c r="V252" i="1"/>
  <c r="W252" i="1"/>
  <c r="X252" i="1"/>
  <c r="Y252" i="1"/>
  <c r="Q253" i="1"/>
  <c r="R253" i="1"/>
  <c r="S253" i="1"/>
  <c r="T253" i="1"/>
  <c r="U253" i="1"/>
  <c r="V253" i="1"/>
  <c r="W253" i="1"/>
  <c r="X253" i="1"/>
  <c r="Y253" i="1"/>
  <c r="Q254" i="1"/>
  <c r="R254" i="1"/>
  <c r="S254" i="1"/>
  <c r="T254" i="1"/>
  <c r="U254" i="1"/>
  <c r="V254" i="1"/>
  <c r="W254" i="1"/>
  <c r="X254" i="1"/>
  <c r="Y254" i="1"/>
  <c r="Q255" i="1"/>
  <c r="R255" i="1"/>
  <c r="S255" i="1"/>
  <c r="T255" i="1"/>
  <c r="U255" i="1"/>
  <c r="V255" i="1"/>
  <c r="W255" i="1"/>
  <c r="X255" i="1"/>
  <c r="Y255" i="1"/>
  <c r="Q256" i="1"/>
  <c r="R256" i="1"/>
  <c r="S256" i="1"/>
  <c r="T256" i="1"/>
  <c r="U256" i="1"/>
  <c r="V256" i="1"/>
  <c r="W256" i="1"/>
  <c r="X256" i="1"/>
  <c r="Y256" i="1"/>
  <c r="Q257" i="1"/>
  <c r="R257" i="1"/>
  <c r="S257" i="1"/>
  <c r="T257" i="1"/>
  <c r="U257" i="1"/>
  <c r="V257" i="1"/>
  <c r="W257" i="1"/>
  <c r="X257" i="1"/>
  <c r="Y257" i="1"/>
  <c r="Q258" i="1"/>
  <c r="R258" i="1"/>
  <c r="S258" i="1"/>
  <c r="T258" i="1"/>
  <c r="U258" i="1"/>
  <c r="V258" i="1"/>
  <c r="W258" i="1"/>
  <c r="X258" i="1"/>
  <c r="Y258" i="1"/>
  <c r="Q259" i="1"/>
  <c r="R259" i="1"/>
  <c r="S259" i="1"/>
  <c r="T259" i="1"/>
  <c r="U259" i="1"/>
  <c r="V259" i="1"/>
  <c r="W259" i="1"/>
  <c r="X259" i="1"/>
  <c r="Y259" i="1"/>
  <c r="Q260" i="1"/>
  <c r="R260" i="1"/>
  <c r="S260" i="1"/>
  <c r="T260" i="1"/>
  <c r="U260" i="1"/>
  <c r="V260" i="1"/>
  <c r="W260" i="1"/>
  <c r="X260" i="1"/>
  <c r="Y260" i="1"/>
  <c r="Q261" i="1"/>
  <c r="R261" i="1"/>
  <c r="S261" i="1"/>
  <c r="T261" i="1"/>
  <c r="U261" i="1"/>
  <c r="V261" i="1"/>
  <c r="W261" i="1"/>
  <c r="X261" i="1"/>
  <c r="Y261" i="1"/>
  <c r="Q262" i="1"/>
  <c r="R262" i="1"/>
  <c r="S262" i="1"/>
  <c r="T262" i="1"/>
  <c r="U262" i="1"/>
  <c r="V262" i="1"/>
  <c r="W262" i="1"/>
  <c r="X262" i="1"/>
  <c r="Y262" i="1"/>
  <c r="Q263" i="1"/>
  <c r="R263" i="1"/>
  <c r="S263" i="1"/>
  <c r="T263" i="1"/>
  <c r="U263" i="1"/>
  <c r="V263" i="1"/>
  <c r="W263" i="1"/>
  <c r="X263" i="1"/>
  <c r="Y263" i="1"/>
  <c r="Q264" i="1"/>
  <c r="R264" i="1"/>
  <c r="S264" i="1"/>
  <c r="T264" i="1"/>
  <c r="U264" i="1"/>
  <c r="V264" i="1"/>
  <c r="W264" i="1"/>
  <c r="X264" i="1"/>
  <c r="Y264" i="1"/>
  <c r="Q265" i="1"/>
  <c r="R265" i="1"/>
  <c r="S265" i="1"/>
  <c r="T265" i="1"/>
  <c r="U265" i="1"/>
  <c r="V265" i="1"/>
  <c r="W265" i="1"/>
  <c r="X265" i="1"/>
  <c r="Y265" i="1"/>
  <c r="Q266" i="1"/>
  <c r="R266" i="1"/>
  <c r="S266" i="1"/>
  <c r="T266" i="1"/>
  <c r="U266" i="1"/>
  <c r="V266" i="1"/>
  <c r="W266" i="1"/>
  <c r="X266" i="1"/>
  <c r="Y266" i="1"/>
  <c r="Q267" i="1"/>
  <c r="R267" i="1"/>
  <c r="S267" i="1"/>
  <c r="T267" i="1"/>
  <c r="U267" i="1"/>
  <c r="V267" i="1"/>
  <c r="W267" i="1"/>
  <c r="X267" i="1"/>
  <c r="Y267" i="1"/>
  <c r="Q268" i="1"/>
  <c r="R268" i="1"/>
  <c r="S268" i="1"/>
  <c r="T268" i="1"/>
  <c r="U268" i="1"/>
  <c r="V268" i="1"/>
  <c r="W268" i="1"/>
  <c r="X268" i="1"/>
  <c r="Y268" i="1"/>
  <c r="Q269" i="1"/>
  <c r="R269" i="1"/>
  <c r="S269" i="1"/>
  <c r="T269" i="1"/>
  <c r="U269" i="1"/>
  <c r="V269" i="1"/>
  <c r="W269" i="1"/>
  <c r="X269" i="1"/>
  <c r="Y269" i="1"/>
  <c r="Q270" i="1"/>
  <c r="R270" i="1"/>
  <c r="S270" i="1"/>
  <c r="T270" i="1"/>
  <c r="U270" i="1"/>
  <c r="V270" i="1"/>
  <c r="W270" i="1"/>
  <c r="X270" i="1"/>
  <c r="Y270" i="1"/>
  <c r="Q271" i="1"/>
  <c r="R271" i="1"/>
  <c r="S271" i="1"/>
  <c r="T271" i="1"/>
  <c r="U271" i="1"/>
  <c r="V271" i="1"/>
  <c r="W271" i="1"/>
  <c r="X271" i="1"/>
  <c r="Y271" i="1"/>
  <c r="Q272" i="1"/>
  <c r="R272" i="1"/>
  <c r="S272" i="1"/>
  <c r="T272" i="1"/>
  <c r="U272" i="1"/>
  <c r="V272" i="1"/>
  <c r="W272" i="1"/>
  <c r="X272" i="1"/>
  <c r="Y272" i="1"/>
  <c r="Q273" i="1"/>
  <c r="R273" i="1"/>
  <c r="S273" i="1"/>
  <c r="T273" i="1"/>
  <c r="U273" i="1"/>
  <c r="V273" i="1"/>
  <c r="W273" i="1"/>
  <c r="X273" i="1"/>
  <c r="Y273" i="1"/>
  <c r="Q274" i="1"/>
  <c r="R274" i="1"/>
  <c r="S274" i="1"/>
  <c r="T274" i="1"/>
  <c r="U274" i="1"/>
  <c r="V274" i="1"/>
  <c r="W274" i="1"/>
  <c r="X274" i="1"/>
  <c r="Y274" i="1"/>
  <c r="Q275" i="1"/>
  <c r="R275" i="1"/>
  <c r="S275" i="1"/>
  <c r="T275" i="1"/>
  <c r="U275" i="1"/>
  <c r="V275" i="1"/>
  <c r="W275" i="1"/>
  <c r="X275" i="1"/>
  <c r="Y275" i="1"/>
  <c r="Q276" i="1"/>
  <c r="R276" i="1"/>
  <c r="S276" i="1"/>
  <c r="T276" i="1"/>
  <c r="U276" i="1"/>
  <c r="V276" i="1"/>
  <c r="W276" i="1"/>
  <c r="X276" i="1"/>
  <c r="Y276" i="1"/>
  <c r="Q277" i="1"/>
  <c r="R277" i="1"/>
  <c r="S277" i="1"/>
  <c r="T277" i="1"/>
  <c r="U277" i="1"/>
  <c r="V277" i="1"/>
  <c r="W277" i="1"/>
  <c r="X277" i="1"/>
  <c r="Y277" i="1"/>
  <c r="Q278" i="1"/>
  <c r="R278" i="1"/>
  <c r="S278" i="1"/>
  <c r="T278" i="1"/>
  <c r="U278" i="1"/>
  <c r="V278" i="1"/>
  <c r="W278" i="1"/>
  <c r="X278" i="1"/>
  <c r="Y278" i="1"/>
  <c r="Q279" i="1"/>
  <c r="R279" i="1"/>
  <c r="S279" i="1"/>
  <c r="T279" i="1"/>
  <c r="U279" i="1"/>
  <c r="V279" i="1"/>
  <c r="W279" i="1"/>
  <c r="X279" i="1"/>
  <c r="Y279" i="1"/>
  <c r="Q280" i="1"/>
  <c r="R280" i="1"/>
  <c r="S280" i="1"/>
  <c r="T280" i="1"/>
  <c r="U280" i="1"/>
  <c r="V280" i="1"/>
  <c r="W280" i="1"/>
  <c r="X280" i="1"/>
  <c r="Y280" i="1"/>
  <c r="Q281" i="1"/>
  <c r="R281" i="1"/>
  <c r="S281" i="1"/>
  <c r="T281" i="1"/>
  <c r="U281" i="1"/>
  <c r="V281" i="1"/>
  <c r="W281" i="1"/>
  <c r="X281" i="1"/>
  <c r="Y281" i="1"/>
  <c r="Q282" i="1"/>
  <c r="R282" i="1"/>
  <c r="S282" i="1"/>
  <c r="T282" i="1"/>
  <c r="U282" i="1"/>
  <c r="V282" i="1"/>
  <c r="W282" i="1"/>
  <c r="X282" i="1"/>
  <c r="Y282" i="1"/>
  <c r="Q283" i="1"/>
  <c r="R283" i="1"/>
  <c r="S283" i="1"/>
  <c r="T283" i="1"/>
  <c r="U283" i="1"/>
  <c r="V283" i="1"/>
  <c r="W283" i="1"/>
  <c r="X283" i="1"/>
  <c r="Y283" i="1"/>
  <c r="Q284" i="1"/>
  <c r="R284" i="1"/>
  <c r="S284" i="1"/>
  <c r="T284" i="1"/>
  <c r="U284" i="1"/>
  <c r="V284" i="1"/>
  <c r="W284" i="1"/>
  <c r="X284" i="1"/>
  <c r="Y284" i="1"/>
  <c r="Q285" i="1"/>
  <c r="R285" i="1"/>
  <c r="S285" i="1"/>
  <c r="T285" i="1"/>
  <c r="U285" i="1"/>
  <c r="V285" i="1"/>
  <c r="W285" i="1"/>
  <c r="X285" i="1"/>
  <c r="Y285" i="1"/>
  <c r="Q286" i="1"/>
  <c r="R286" i="1"/>
  <c r="S286" i="1"/>
  <c r="T286" i="1"/>
  <c r="U286" i="1"/>
  <c r="V286" i="1"/>
  <c r="W286" i="1"/>
  <c r="X286" i="1"/>
  <c r="Y286" i="1"/>
  <c r="Q287" i="1"/>
  <c r="R287" i="1"/>
  <c r="S287" i="1"/>
  <c r="T287" i="1"/>
  <c r="U287" i="1"/>
  <c r="V287" i="1"/>
  <c r="W287" i="1"/>
  <c r="X287" i="1"/>
  <c r="Y287" i="1"/>
  <c r="Q288" i="1"/>
  <c r="R288" i="1"/>
  <c r="S288" i="1"/>
  <c r="T288" i="1"/>
  <c r="U288" i="1"/>
  <c r="V288" i="1"/>
  <c r="W288" i="1"/>
  <c r="X288" i="1"/>
  <c r="Y288" i="1"/>
  <c r="Q289" i="1"/>
  <c r="R289" i="1"/>
  <c r="S289" i="1"/>
  <c r="T289" i="1"/>
  <c r="U289" i="1"/>
  <c r="V289" i="1"/>
  <c r="W289" i="1"/>
  <c r="X289" i="1"/>
  <c r="Y289" i="1"/>
  <c r="Q290" i="1"/>
  <c r="R290" i="1"/>
  <c r="S290" i="1"/>
  <c r="T290" i="1"/>
  <c r="U290" i="1"/>
  <c r="V290" i="1"/>
  <c r="W290" i="1"/>
  <c r="X290" i="1"/>
  <c r="Y290" i="1"/>
  <c r="Q291" i="1"/>
  <c r="R291" i="1"/>
  <c r="S291" i="1"/>
  <c r="T291" i="1"/>
  <c r="U291" i="1"/>
  <c r="V291" i="1"/>
  <c r="W291" i="1"/>
  <c r="X291" i="1"/>
  <c r="Y291" i="1"/>
  <c r="Q292" i="1"/>
  <c r="R292" i="1"/>
  <c r="S292" i="1"/>
  <c r="T292" i="1"/>
  <c r="U292" i="1"/>
  <c r="V292" i="1"/>
  <c r="W292" i="1"/>
  <c r="X292" i="1"/>
  <c r="Y292" i="1"/>
  <c r="Q293" i="1"/>
  <c r="R293" i="1"/>
  <c r="S293" i="1"/>
  <c r="T293" i="1"/>
  <c r="U293" i="1"/>
  <c r="V293" i="1"/>
  <c r="W293" i="1"/>
  <c r="X293" i="1"/>
  <c r="Y293" i="1"/>
  <c r="Q294" i="1"/>
  <c r="R294" i="1"/>
  <c r="S294" i="1"/>
  <c r="T294" i="1"/>
  <c r="U294" i="1"/>
  <c r="V294" i="1"/>
  <c r="W294" i="1"/>
  <c r="X294" i="1"/>
  <c r="Y294" i="1"/>
  <c r="Q295" i="1"/>
  <c r="R295" i="1"/>
  <c r="S295" i="1"/>
  <c r="T295" i="1"/>
  <c r="U295" i="1"/>
  <c r="V295" i="1"/>
  <c r="W295" i="1"/>
  <c r="X295" i="1"/>
  <c r="Y295" i="1"/>
  <c r="Q296" i="1"/>
  <c r="R296" i="1"/>
  <c r="S296" i="1"/>
  <c r="T296" i="1"/>
  <c r="U296" i="1"/>
  <c r="V296" i="1"/>
  <c r="W296" i="1"/>
  <c r="X296" i="1"/>
  <c r="Y296" i="1"/>
  <c r="Q297" i="1"/>
  <c r="R297" i="1"/>
  <c r="S297" i="1"/>
  <c r="T297" i="1"/>
  <c r="U297" i="1"/>
  <c r="V297" i="1"/>
  <c r="W297" i="1"/>
  <c r="X297" i="1"/>
  <c r="Y297" i="1"/>
  <c r="Q298" i="1"/>
  <c r="R298" i="1"/>
  <c r="S298" i="1"/>
  <c r="T298" i="1"/>
  <c r="U298" i="1"/>
  <c r="V298" i="1"/>
  <c r="W298" i="1"/>
  <c r="X298" i="1"/>
  <c r="Y298" i="1"/>
  <c r="Q299" i="1"/>
  <c r="R299" i="1"/>
  <c r="S299" i="1"/>
  <c r="T299" i="1"/>
  <c r="U299" i="1"/>
  <c r="V299" i="1"/>
  <c r="W299" i="1"/>
  <c r="X299" i="1"/>
  <c r="Y299" i="1"/>
  <c r="Q300" i="1"/>
  <c r="R300" i="1"/>
  <c r="S300" i="1"/>
  <c r="T300" i="1"/>
  <c r="U300" i="1"/>
  <c r="V300" i="1"/>
  <c r="W300" i="1"/>
  <c r="X300" i="1"/>
  <c r="Y300" i="1"/>
  <c r="Q301" i="1"/>
  <c r="R301" i="1"/>
  <c r="S301" i="1"/>
  <c r="T301" i="1"/>
  <c r="U301" i="1"/>
  <c r="V301" i="1"/>
  <c r="W301" i="1"/>
  <c r="X301" i="1"/>
  <c r="Y301" i="1"/>
  <c r="Q302" i="1"/>
  <c r="R302" i="1"/>
  <c r="S302" i="1"/>
  <c r="T302" i="1"/>
  <c r="U302" i="1"/>
  <c r="V302" i="1"/>
  <c r="W302" i="1"/>
  <c r="X302" i="1"/>
  <c r="Y302" i="1"/>
  <c r="Q303" i="1"/>
  <c r="R303" i="1"/>
  <c r="S303" i="1"/>
  <c r="T303" i="1"/>
  <c r="U303" i="1"/>
  <c r="V303" i="1"/>
  <c r="W303" i="1"/>
  <c r="X303" i="1"/>
  <c r="Y303" i="1"/>
  <c r="Q304" i="1"/>
  <c r="R304" i="1"/>
  <c r="S304" i="1"/>
  <c r="T304" i="1"/>
  <c r="U304" i="1"/>
  <c r="V304" i="1"/>
  <c r="W304" i="1"/>
  <c r="X304" i="1"/>
  <c r="Y304" i="1"/>
  <c r="Q305" i="1"/>
  <c r="R305" i="1"/>
  <c r="S305" i="1"/>
  <c r="T305" i="1"/>
  <c r="U305" i="1"/>
  <c r="V305" i="1"/>
  <c r="W305" i="1"/>
  <c r="X305" i="1"/>
  <c r="Y305" i="1"/>
  <c r="Q306" i="1"/>
  <c r="R306" i="1"/>
  <c r="S306" i="1"/>
  <c r="T306" i="1"/>
  <c r="U306" i="1"/>
  <c r="V306" i="1"/>
  <c r="W306" i="1"/>
  <c r="X306" i="1"/>
  <c r="Y306" i="1"/>
  <c r="Q307" i="1"/>
  <c r="R307" i="1"/>
  <c r="S307" i="1"/>
  <c r="T307" i="1"/>
  <c r="U307" i="1"/>
  <c r="V307" i="1"/>
  <c r="W307" i="1"/>
  <c r="X307" i="1"/>
  <c r="Y307" i="1"/>
  <c r="Q308" i="1"/>
  <c r="R308" i="1"/>
  <c r="S308" i="1"/>
  <c r="T308" i="1"/>
  <c r="U308" i="1"/>
  <c r="V308" i="1"/>
  <c r="W308" i="1"/>
  <c r="X308" i="1"/>
  <c r="Y308" i="1"/>
  <c r="Q309" i="1"/>
  <c r="R309" i="1"/>
  <c r="S309" i="1"/>
  <c r="T309" i="1"/>
  <c r="U309" i="1"/>
  <c r="V309" i="1"/>
  <c r="W309" i="1"/>
  <c r="X309" i="1"/>
  <c r="Y309" i="1"/>
  <c r="Q310" i="1"/>
  <c r="R310" i="1"/>
  <c r="S310" i="1"/>
  <c r="T310" i="1"/>
  <c r="U310" i="1"/>
  <c r="V310" i="1"/>
  <c r="W310" i="1"/>
  <c r="X310" i="1"/>
  <c r="Y310" i="1"/>
  <c r="Q311" i="1"/>
  <c r="R311" i="1"/>
  <c r="S311" i="1"/>
  <c r="T311" i="1"/>
  <c r="U311" i="1"/>
  <c r="V311" i="1"/>
  <c r="W311" i="1"/>
  <c r="X311" i="1"/>
  <c r="Y311" i="1"/>
  <c r="Q312" i="1"/>
  <c r="R312" i="1"/>
  <c r="S312" i="1"/>
  <c r="T312" i="1"/>
  <c r="U312" i="1"/>
  <c r="V312" i="1"/>
  <c r="W312" i="1"/>
  <c r="X312" i="1"/>
  <c r="Y312" i="1"/>
  <c r="Q313" i="1"/>
  <c r="R313" i="1"/>
  <c r="S313" i="1"/>
  <c r="T313" i="1"/>
  <c r="U313" i="1"/>
  <c r="V313" i="1"/>
  <c r="W313" i="1"/>
  <c r="X313" i="1"/>
  <c r="Y313" i="1"/>
  <c r="Q314" i="1"/>
  <c r="R314" i="1"/>
  <c r="S314" i="1"/>
  <c r="T314" i="1"/>
  <c r="U314" i="1"/>
  <c r="V314" i="1"/>
  <c r="W314" i="1"/>
  <c r="X314" i="1"/>
  <c r="Y314" i="1"/>
  <c r="Q315" i="1"/>
  <c r="R315" i="1"/>
  <c r="S315" i="1"/>
  <c r="T315" i="1"/>
  <c r="U315" i="1"/>
  <c r="V315" i="1"/>
  <c r="W315" i="1"/>
  <c r="X315" i="1"/>
  <c r="Y315" i="1"/>
  <c r="Q316" i="1"/>
  <c r="R316" i="1"/>
  <c r="S316" i="1"/>
  <c r="T316" i="1"/>
  <c r="U316" i="1"/>
  <c r="V316" i="1"/>
  <c r="W316" i="1"/>
  <c r="X316" i="1"/>
  <c r="Y316" i="1"/>
  <c r="Q317" i="1"/>
  <c r="R317" i="1"/>
  <c r="S317" i="1"/>
  <c r="T317" i="1"/>
  <c r="U317" i="1"/>
  <c r="V317" i="1"/>
  <c r="W317" i="1"/>
  <c r="X317" i="1"/>
  <c r="Y317" i="1"/>
  <c r="Q318" i="1"/>
  <c r="R318" i="1"/>
  <c r="S318" i="1"/>
  <c r="T318" i="1"/>
  <c r="U318" i="1"/>
  <c r="V318" i="1"/>
  <c r="W318" i="1"/>
  <c r="X318" i="1"/>
  <c r="Y318" i="1"/>
  <c r="Q319" i="1"/>
  <c r="R319" i="1"/>
  <c r="S319" i="1"/>
  <c r="T319" i="1"/>
  <c r="U319" i="1"/>
  <c r="V319" i="1"/>
  <c r="W319" i="1"/>
  <c r="X319" i="1"/>
  <c r="Y319" i="1"/>
  <c r="Q320" i="1"/>
  <c r="R320" i="1"/>
  <c r="S320" i="1"/>
  <c r="T320" i="1"/>
  <c r="U320" i="1"/>
  <c r="V320" i="1"/>
  <c r="W320" i="1"/>
  <c r="X320" i="1"/>
  <c r="Y320" i="1"/>
  <c r="Q321" i="1"/>
  <c r="R321" i="1"/>
  <c r="S321" i="1"/>
  <c r="T321" i="1"/>
  <c r="U321" i="1"/>
  <c r="V321" i="1"/>
  <c r="W321" i="1"/>
  <c r="X321" i="1"/>
  <c r="Y321" i="1"/>
  <c r="Q322" i="1"/>
  <c r="R322" i="1"/>
  <c r="S322" i="1"/>
  <c r="T322" i="1"/>
  <c r="U322" i="1"/>
  <c r="V322" i="1"/>
  <c r="W322" i="1"/>
  <c r="X322" i="1"/>
  <c r="Y322" i="1"/>
  <c r="Q323" i="1"/>
  <c r="R323" i="1"/>
  <c r="S323" i="1"/>
  <c r="T323" i="1"/>
  <c r="U323" i="1"/>
  <c r="V323" i="1"/>
  <c r="W323" i="1"/>
  <c r="X323" i="1"/>
  <c r="Y323" i="1"/>
  <c r="Q324" i="1"/>
  <c r="R324" i="1"/>
  <c r="S324" i="1"/>
  <c r="T324" i="1"/>
  <c r="U324" i="1"/>
  <c r="V324" i="1"/>
  <c r="W324" i="1"/>
  <c r="X324" i="1"/>
  <c r="Y324" i="1"/>
  <c r="Q325" i="1"/>
  <c r="R325" i="1"/>
  <c r="S325" i="1"/>
  <c r="T325" i="1"/>
  <c r="U325" i="1"/>
  <c r="V325" i="1"/>
  <c r="W325" i="1"/>
  <c r="X325" i="1"/>
  <c r="Y325" i="1"/>
  <c r="Q326" i="1"/>
  <c r="R326" i="1"/>
  <c r="S326" i="1"/>
  <c r="T326" i="1"/>
  <c r="U326" i="1"/>
  <c r="V326" i="1"/>
  <c r="W326" i="1"/>
  <c r="X326" i="1"/>
  <c r="Y326" i="1"/>
  <c r="Q327" i="1"/>
  <c r="R327" i="1"/>
  <c r="S327" i="1"/>
  <c r="T327" i="1"/>
  <c r="U327" i="1"/>
  <c r="V327" i="1"/>
  <c r="W327" i="1"/>
  <c r="X327" i="1"/>
  <c r="Y327" i="1"/>
  <c r="Q328" i="1"/>
  <c r="R328" i="1"/>
  <c r="S328" i="1"/>
  <c r="T328" i="1"/>
  <c r="U328" i="1"/>
  <c r="V328" i="1"/>
  <c r="W328" i="1"/>
  <c r="X328" i="1"/>
  <c r="Y328" i="1"/>
  <c r="Q329" i="1"/>
  <c r="R329" i="1"/>
  <c r="S329" i="1"/>
  <c r="T329" i="1"/>
  <c r="U329" i="1"/>
  <c r="V329" i="1"/>
  <c r="W329" i="1"/>
  <c r="X329" i="1"/>
  <c r="Y329" i="1"/>
  <c r="Q330" i="1"/>
  <c r="R330" i="1"/>
  <c r="S330" i="1"/>
  <c r="T330" i="1"/>
  <c r="U330" i="1"/>
  <c r="V330" i="1"/>
  <c r="W330" i="1"/>
  <c r="X330" i="1"/>
  <c r="Y330" i="1"/>
  <c r="Q331" i="1"/>
  <c r="R331" i="1"/>
  <c r="S331" i="1"/>
  <c r="T331" i="1"/>
  <c r="U331" i="1"/>
  <c r="V331" i="1"/>
  <c r="W331" i="1"/>
  <c r="X331" i="1"/>
  <c r="Y331" i="1"/>
  <c r="Q332" i="1"/>
  <c r="R332" i="1"/>
  <c r="S332" i="1"/>
  <c r="T332" i="1"/>
  <c r="U332" i="1"/>
  <c r="V332" i="1"/>
  <c r="W332" i="1"/>
  <c r="X332" i="1"/>
  <c r="Y332" i="1"/>
  <c r="Q333" i="1"/>
  <c r="R333" i="1"/>
  <c r="S333" i="1"/>
  <c r="T333" i="1"/>
  <c r="U333" i="1"/>
  <c r="V333" i="1"/>
  <c r="W333" i="1"/>
  <c r="X333" i="1"/>
  <c r="Y333" i="1"/>
  <c r="Q334" i="1"/>
  <c r="R334" i="1"/>
  <c r="S334" i="1"/>
  <c r="T334" i="1"/>
  <c r="U334" i="1"/>
  <c r="V334" i="1"/>
  <c r="W334" i="1"/>
  <c r="X334" i="1"/>
  <c r="Y334" i="1"/>
  <c r="Q335" i="1"/>
  <c r="R335" i="1"/>
  <c r="S335" i="1"/>
  <c r="T335" i="1"/>
  <c r="U335" i="1"/>
  <c r="V335" i="1"/>
  <c r="W335" i="1"/>
  <c r="X335" i="1"/>
  <c r="Y335" i="1"/>
  <c r="Q336" i="1"/>
  <c r="R336" i="1"/>
  <c r="S336" i="1"/>
  <c r="T336" i="1"/>
  <c r="U336" i="1"/>
  <c r="V336" i="1"/>
  <c r="W336" i="1"/>
  <c r="X336" i="1"/>
  <c r="Y336" i="1"/>
  <c r="Q337" i="1"/>
  <c r="R337" i="1"/>
  <c r="S337" i="1"/>
  <c r="T337" i="1"/>
  <c r="U337" i="1"/>
  <c r="V337" i="1"/>
  <c r="W337" i="1"/>
  <c r="X337" i="1"/>
  <c r="Y337" i="1"/>
  <c r="Q338" i="1"/>
  <c r="R338" i="1"/>
  <c r="S338" i="1"/>
  <c r="T338" i="1"/>
  <c r="U338" i="1"/>
  <c r="V338" i="1"/>
  <c r="W338" i="1"/>
  <c r="X338" i="1"/>
  <c r="Y338" i="1"/>
  <c r="Q339" i="1"/>
  <c r="R339" i="1"/>
  <c r="S339" i="1"/>
  <c r="T339" i="1"/>
  <c r="U339" i="1"/>
  <c r="V339" i="1"/>
  <c r="W339" i="1"/>
  <c r="X339" i="1"/>
  <c r="Y339" i="1"/>
  <c r="Q340" i="1"/>
  <c r="R340" i="1"/>
  <c r="S340" i="1"/>
  <c r="T340" i="1"/>
  <c r="U340" i="1"/>
  <c r="V340" i="1"/>
  <c r="W340" i="1"/>
  <c r="X340" i="1"/>
  <c r="Y340" i="1"/>
  <c r="Q341" i="1"/>
  <c r="R341" i="1"/>
  <c r="S341" i="1"/>
  <c r="T341" i="1"/>
  <c r="U341" i="1"/>
  <c r="V341" i="1"/>
  <c r="W341" i="1"/>
  <c r="X341" i="1"/>
  <c r="Y341" i="1"/>
  <c r="Q342" i="1"/>
  <c r="R342" i="1"/>
  <c r="S342" i="1"/>
  <c r="T342" i="1"/>
  <c r="U342" i="1"/>
  <c r="V342" i="1"/>
  <c r="W342" i="1"/>
  <c r="X342" i="1"/>
  <c r="Y342" i="1"/>
  <c r="Q343" i="1"/>
  <c r="R343" i="1"/>
  <c r="S343" i="1"/>
  <c r="T343" i="1"/>
  <c r="U343" i="1"/>
  <c r="V343" i="1"/>
  <c r="W343" i="1"/>
  <c r="X343" i="1"/>
  <c r="Y343" i="1"/>
  <c r="Q344" i="1"/>
  <c r="R344" i="1"/>
  <c r="S344" i="1"/>
  <c r="T344" i="1"/>
  <c r="U344" i="1"/>
  <c r="V344" i="1"/>
  <c r="W344" i="1"/>
  <c r="X344" i="1"/>
  <c r="Y344" i="1"/>
  <c r="Q345" i="1"/>
  <c r="R345" i="1"/>
  <c r="S345" i="1"/>
  <c r="T345" i="1"/>
  <c r="U345" i="1"/>
  <c r="V345" i="1"/>
  <c r="W345" i="1"/>
  <c r="X345" i="1"/>
  <c r="Y345" i="1"/>
  <c r="Q346" i="1"/>
  <c r="R346" i="1"/>
  <c r="S346" i="1"/>
  <c r="T346" i="1"/>
  <c r="U346" i="1"/>
  <c r="V346" i="1"/>
  <c r="W346" i="1"/>
  <c r="X346" i="1"/>
  <c r="Y346" i="1"/>
  <c r="Q347" i="1"/>
  <c r="R347" i="1"/>
  <c r="S347" i="1"/>
  <c r="T347" i="1"/>
  <c r="U347" i="1"/>
  <c r="V347" i="1"/>
  <c r="W347" i="1"/>
  <c r="X347" i="1"/>
  <c r="Y347" i="1"/>
  <c r="Q348" i="1"/>
  <c r="R348" i="1"/>
  <c r="S348" i="1"/>
  <c r="T348" i="1"/>
  <c r="U348" i="1"/>
  <c r="V348" i="1"/>
  <c r="W348" i="1"/>
  <c r="X348" i="1"/>
  <c r="Y348" i="1"/>
  <c r="Q349" i="1"/>
  <c r="R349" i="1"/>
  <c r="S349" i="1"/>
  <c r="T349" i="1"/>
  <c r="U349" i="1"/>
  <c r="V349" i="1"/>
  <c r="W349" i="1"/>
  <c r="X349" i="1"/>
  <c r="Y349" i="1"/>
  <c r="Q350" i="1"/>
  <c r="R350" i="1"/>
  <c r="S350" i="1"/>
  <c r="T350" i="1"/>
  <c r="U350" i="1"/>
  <c r="V350" i="1"/>
  <c r="W350" i="1"/>
  <c r="X350" i="1"/>
  <c r="Y350" i="1"/>
  <c r="Q351" i="1"/>
  <c r="R351" i="1"/>
  <c r="S351" i="1"/>
  <c r="T351" i="1"/>
  <c r="U351" i="1"/>
  <c r="V351" i="1"/>
  <c r="W351" i="1"/>
  <c r="X351" i="1"/>
  <c r="Y351" i="1"/>
  <c r="Q352" i="1"/>
  <c r="R352" i="1"/>
  <c r="S352" i="1"/>
  <c r="T352" i="1"/>
  <c r="U352" i="1"/>
  <c r="V352" i="1"/>
  <c r="W352" i="1"/>
  <c r="X352" i="1"/>
  <c r="Y352" i="1"/>
  <c r="Q353" i="1"/>
  <c r="R353" i="1"/>
  <c r="S353" i="1"/>
  <c r="T353" i="1"/>
  <c r="U353" i="1"/>
  <c r="V353" i="1"/>
  <c r="W353" i="1"/>
  <c r="X353" i="1"/>
  <c r="Y353" i="1"/>
  <c r="Q354" i="1"/>
  <c r="R354" i="1"/>
  <c r="S354" i="1"/>
  <c r="T354" i="1"/>
  <c r="U354" i="1"/>
  <c r="V354" i="1"/>
  <c r="W354" i="1"/>
  <c r="X354" i="1"/>
  <c r="Y354" i="1"/>
  <c r="Q355" i="1"/>
  <c r="R355" i="1"/>
  <c r="S355" i="1"/>
  <c r="T355" i="1"/>
  <c r="U355" i="1"/>
  <c r="V355" i="1"/>
  <c r="W355" i="1"/>
  <c r="X355" i="1"/>
  <c r="Y355" i="1"/>
  <c r="Q356" i="1"/>
  <c r="R356" i="1"/>
  <c r="S356" i="1"/>
  <c r="T356" i="1"/>
  <c r="U356" i="1"/>
  <c r="V356" i="1"/>
  <c r="W356" i="1"/>
  <c r="X356" i="1"/>
  <c r="Y356" i="1"/>
  <c r="Q357" i="1"/>
  <c r="R357" i="1"/>
  <c r="S357" i="1"/>
  <c r="T357" i="1"/>
  <c r="U357" i="1"/>
  <c r="V357" i="1"/>
  <c r="W357" i="1"/>
  <c r="X357" i="1"/>
  <c r="Y357" i="1"/>
  <c r="Q358" i="1"/>
  <c r="R358" i="1"/>
  <c r="S358" i="1"/>
  <c r="T358" i="1"/>
  <c r="U358" i="1"/>
  <c r="V358" i="1"/>
  <c r="W358" i="1"/>
  <c r="X358" i="1"/>
  <c r="Y358" i="1"/>
  <c r="Q359" i="1"/>
  <c r="R359" i="1"/>
  <c r="S359" i="1"/>
  <c r="T359" i="1"/>
  <c r="U359" i="1"/>
  <c r="V359" i="1"/>
  <c r="W359" i="1"/>
  <c r="X359" i="1"/>
  <c r="Y359" i="1"/>
  <c r="Q360" i="1"/>
  <c r="R360" i="1"/>
  <c r="S360" i="1"/>
  <c r="T360" i="1"/>
  <c r="U360" i="1"/>
  <c r="V360" i="1"/>
  <c r="W360" i="1"/>
  <c r="X360" i="1"/>
  <c r="Y360" i="1"/>
  <c r="Q361" i="1"/>
  <c r="R361" i="1"/>
  <c r="S361" i="1"/>
  <c r="T361" i="1"/>
  <c r="U361" i="1"/>
  <c r="V361" i="1"/>
  <c r="W361" i="1"/>
  <c r="X361" i="1"/>
  <c r="Y361" i="1"/>
  <c r="Q362" i="1"/>
  <c r="R362" i="1"/>
  <c r="S362" i="1"/>
  <c r="T362" i="1"/>
  <c r="U362" i="1"/>
  <c r="V362" i="1"/>
  <c r="W362" i="1"/>
  <c r="X362" i="1"/>
  <c r="Y362" i="1"/>
  <c r="Q363" i="1"/>
  <c r="R363" i="1"/>
  <c r="S363" i="1"/>
  <c r="T363" i="1"/>
  <c r="U363" i="1"/>
  <c r="V363" i="1"/>
  <c r="W363" i="1"/>
  <c r="X363" i="1"/>
  <c r="Y363" i="1"/>
  <c r="Q364" i="1"/>
  <c r="R364" i="1"/>
  <c r="S364" i="1"/>
  <c r="T364" i="1"/>
  <c r="U364" i="1"/>
  <c r="V364" i="1"/>
  <c r="W364" i="1"/>
  <c r="X364" i="1"/>
  <c r="Y364" i="1"/>
  <c r="Q365" i="1"/>
  <c r="R365" i="1"/>
  <c r="S365" i="1"/>
  <c r="T365" i="1"/>
  <c r="U365" i="1"/>
  <c r="V365" i="1"/>
  <c r="W365" i="1"/>
  <c r="X365" i="1"/>
  <c r="Y365" i="1"/>
  <c r="Q366" i="1"/>
  <c r="R366" i="1"/>
  <c r="S366" i="1"/>
  <c r="T366" i="1"/>
  <c r="U366" i="1"/>
  <c r="V366" i="1"/>
  <c r="W366" i="1"/>
  <c r="X366" i="1"/>
  <c r="Y366" i="1"/>
  <c r="Q367" i="1"/>
  <c r="R367" i="1"/>
  <c r="S367" i="1"/>
  <c r="T367" i="1"/>
  <c r="U367" i="1"/>
  <c r="V367" i="1"/>
  <c r="W367" i="1"/>
  <c r="X367" i="1"/>
  <c r="Y367" i="1"/>
  <c r="Q368" i="1"/>
  <c r="R368" i="1"/>
  <c r="S368" i="1"/>
  <c r="T368" i="1"/>
  <c r="U368" i="1"/>
  <c r="V368" i="1"/>
  <c r="W368" i="1"/>
  <c r="X368" i="1"/>
  <c r="Y368" i="1"/>
  <c r="Q369" i="1"/>
  <c r="R369" i="1"/>
  <c r="S369" i="1"/>
  <c r="T369" i="1"/>
  <c r="U369" i="1"/>
  <c r="V369" i="1"/>
  <c r="W369" i="1"/>
  <c r="X369" i="1"/>
  <c r="Y369" i="1"/>
  <c r="Q370" i="1"/>
  <c r="R370" i="1"/>
  <c r="S370" i="1"/>
  <c r="T370" i="1"/>
  <c r="U370" i="1"/>
  <c r="V370" i="1"/>
  <c r="W370" i="1"/>
  <c r="X370" i="1"/>
  <c r="Y370" i="1"/>
  <c r="Q371" i="1"/>
  <c r="R371" i="1"/>
  <c r="S371" i="1"/>
  <c r="T371" i="1"/>
  <c r="U371" i="1"/>
  <c r="V371" i="1"/>
  <c r="W371" i="1"/>
  <c r="X371" i="1"/>
  <c r="Y371" i="1"/>
  <c r="Q372" i="1"/>
  <c r="R372" i="1"/>
  <c r="S372" i="1"/>
  <c r="T372" i="1"/>
  <c r="U372" i="1"/>
  <c r="V372" i="1"/>
  <c r="W372" i="1"/>
  <c r="X372" i="1"/>
  <c r="Y372" i="1"/>
  <c r="Q373" i="1"/>
  <c r="R373" i="1"/>
  <c r="S373" i="1"/>
  <c r="T373" i="1"/>
  <c r="U373" i="1"/>
  <c r="V373" i="1"/>
  <c r="W373" i="1"/>
  <c r="X373" i="1"/>
  <c r="Y373" i="1"/>
  <c r="Q374" i="1"/>
  <c r="R374" i="1"/>
  <c r="S374" i="1"/>
  <c r="T374" i="1"/>
  <c r="U374" i="1"/>
  <c r="V374" i="1"/>
  <c r="W374" i="1"/>
  <c r="X374" i="1"/>
  <c r="Y374" i="1"/>
  <c r="Q375" i="1"/>
  <c r="R375" i="1"/>
  <c r="S375" i="1"/>
  <c r="T375" i="1"/>
  <c r="U375" i="1"/>
  <c r="V375" i="1"/>
  <c r="W375" i="1"/>
  <c r="X375" i="1"/>
  <c r="Y375" i="1"/>
  <c r="Q376" i="1"/>
  <c r="R376" i="1"/>
  <c r="S376" i="1"/>
  <c r="T376" i="1"/>
  <c r="U376" i="1"/>
  <c r="V376" i="1"/>
  <c r="W376" i="1"/>
  <c r="X376" i="1"/>
  <c r="Y376" i="1"/>
  <c r="Q377" i="1"/>
  <c r="R377" i="1"/>
  <c r="S377" i="1"/>
  <c r="T377" i="1"/>
  <c r="U377" i="1"/>
  <c r="V377" i="1"/>
  <c r="W377" i="1"/>
  <c r="X377" i="1"/>
  <c r="Y377" i="1"/>
  <c r="Q378" i="1"/>
  <c r="R378" i="1"/>
  <c r="S378" i="1"/>
  <c r="T378" i="1"/>
  <c r="U378" i="1"/>
  <c r="V378" i="1"/>
  <c r="W378" i="1"/>
  <c r="X378" i="1"/>
  <c r="Y378" i="1"/>
  <c r="Q379" i="1"/>
  <c r="R379" i="1"/>
  <c r="S379" i="1"/>
  <c r="T379" i="1"/>
  <c r="U379" i="1"/>
  <c r="V379" i="1"/>
  <c r="W379" i="1"/>
  <c r="X379" i="1"/>
  <c r="Y379" i="1"/>
  <c r="Q380" i="1"/>
  <c r="R380" i="1"/>
  <c r="S380" i="1"/>
  <c r="T380" i="1"/>
  <c r="U380" i="1"/>
  <c r="V380" i="1"/>
  <c r="W380" i="1"/>
  <c r="X380" i="1"/>
  <c r="Y380" i="1"/>
  <c r="Q381" i="1"/>
  <c r="R381" i="1"/>
  <c r="S381" i="1"/>
  <c r="T381" i="1"/>
  <c r="U381" i="1"/>
  <c r="V381" i="1"/>
  <c r="W381" i="1"/>
  <c r="X381" i="1"/>
  <c r="Y381" i="1"/>
  <c r="Q382" i="1"/>
  <c r="R382" i="1"/>
  <c r="S382" i="1"/>
  <c r="T382" i="1"/>
  <c r="U382" i="1"/>
  <c r="V382" i="1"/>
  <c r="W382" i="1"/>
  <c r="X382" i="1"/>
  <c r="Y382" i="1"/>
  <c r="Q383" i="1"/>
  <c r="R383" i="1"/>
  <c r="S383" i="1"/>
  <c r="T383" i="1"/>
  <c r="U383" i="1"/>
  <c r="V383" i="1"/>
  <c r="W383" i="1"/>
  <c r="X383" i="1"/>
  <c r="Y383" i="1"/>
  <c r="Q384" i="1"/>
  <c r="R384" i="1"/>
  <c r="S384" i="1"/>
  <c r="T384" i="1"/>
  <c r="U384" i="1"/>
  <c r="V384" i="1"/>
  <c r="W384" i="1"/>
  <c r="X384" i="1"/>
  <c r="Y384" i="1"/>
  <c r="Q385" i="1"/>
  <c r="R385" i="1"/>
  <c r="S385" i="1"/>
  <c r="T385" i="1"/>
  <c r="U385" i="1"/>
  <c r="V385" i="1"/>
  <c r="W385" i="1"/>
  <c r="X385" i="1"/>
  <c r="Y385" i="1"/>
  <c r="Q386" i="1"/>
  <c r="R386" i="1"/>
  <c r="S386" i="1"/>
  <c r="T386" i="1"/>
  <c r="U386" i="1"/>
  <c r="V386" i="1"/>
  <c r="W386" i="1"/>
  <c r="X386" i="1"/>
  <c r="Y386" i="1"/>
  <c r="Q387" i="1"/>
  <c r="R387" i="1"/>
  <c r="S387" i="1"/>
  <c r="T387" i="1"/>
  <c r="U387" i="1"/>
  <c r="V387" i="1"/>
  <c r="W387" i="1"/>
  <c r="X387" i="1"/>
  <c r="Y387" i="1"/>
  <c r="Q388" i="1"/>
  <c r="R388" i="1"/>
  <c r="S388" i="1"/>
  <c r="T388" i="1"/>
  <c r="U388" i="1"/>
  <c r="V388" i="1"/>
  <c r="W388" i="1"/>
  <c r="X388" i="1"/>
  <c r="Y388" i="1"/>
  <c r="Q389" i="1"/>
  <c r="R389" i="1"/>
  <c r="S389" i="1"/>
  <c r="T389" i="1"/>
  <c r="U389" i="1"/>
  <c r="V389" i="1"/>
  <c r="W389" i="1"/>
  <c r="X389" i="1"/>
  <c r="Y389" i="1"/>
  <c r="Q390" i="1"/>
  <c r="R390" i="1"/>
  <c r="S390" i="1"/>
  <c r="T390" i="1"/>
  <c r="U390" i="1"/>
  <c r="V390" i="1"/>
  <c r="W390" i="1"/>
  <c r="X390" i="1"/>
  <c r="Y390" i="1"/>
  <c r="Q391" i="1"/>
  <c r="R391" i="1"/>
  <c r="S391" i="1"/>
  <c r="T391" i="1"/>
  <c r="U391" i="1"/>
  <c r="V391" i="1"/>
  <c r="W391" i="1"/>
  <c r="X391" i="1"/>
  <c r="Y391" i="1"/>
  <c r="Q392" i="1"/>
  <c r="R392" i="1"/>
  <c r="S392" i="1"/>
  <c r="T392" i="1"/>
  <c r="U392" i="1"/>
  <c r="V392" i="1"/>
  <c r="W392" i="1"/>
  <c r="X392" i="1"/>
  <c r="Y392" i="1"/>
  <c r="Q393" i="1"/>
  <c r="R393" i="1"/>
  <c r="S393" i="1"/>
  <c r="T393" i="1"/>
  <c r="U393" i="1"/>
  <c r="V393" i="1"/>
  <c r="W393" i="1"/>
  <c r="X393" i="1"/>
  <c r="Y393" i="1"/>
  <c r="Q394" i="1"/>
  <c r="R394" i="1"/>
  <c r="S394" i="1"/>
  <c r="T394" i="1"/>
  <c r="U394" i="1"/>
  <c r="V394" i="1"/>
  <c r="W394" i="1"/>
  <c r="X394" i="1"/>
  <c r="Y394" i="1"/>
  <c r="Q395" i="1"/>
  <c r="R395" i="1"/>
  <c r="S395" i="1"/>
  <c r="T395" i="1"/>
  <c r="U395" i="1"/>
  <c r="V395" i="1"/>
  <c r="W395" i="1"/>
  <c r="X395" i="1"/>
  <c r="Y395" i="1"/>
  <c r="Q396" i="1"/>
  <c r="R396" i="1"/>
  <c r="S396" i="1"/>
  <c r="T396" i="1"/>
  <c r="U396" i="1"/>
  <c r="V396" i="1"/>
  <c r="W396" i="1"/>
  <c r="X396" i="1"/>
  <c r="Y396" i="1"/>
  <c r="Q397" i="1"/>
  <c r="R397" i="1"/>
  <c r="S397" i="1"/>
  <c r="T397" i="1"/>
  <c r="U397" i="1"/>
  <c r="V397" i="1"/>
  <c r="W397" i="1"/>
  <c r="X397" i="1"/>
  <c r="Y397" i="1"/>
  <c r="Q398" i="1"/>
  <c r="R398" i="1"/>
  <c r="S398" i="1"/>
  <c r="T398" i="1"/>
  <c r="U398" i="1"/>
  <c r="V398" i="1"/>
  <c r="W398" i="1"/>
  <c r="X398" i="1"/>
  <c r="Y398" i="1"/>
  <c r="Q399" i="1"/>
  <c r="R399" i="1"/>
  <c r="S399" i="1"/>
  <c r="T399" i="1"/>
  <c r="U399" i="1"/>
  <c r="V399" i="1"/>
  <c r="W399" i="1"/>
  <c r="X399" i="1"/>
  <c r="Y399" i="1"/>
  <c r="Q400" i="1"/>
  <c r="R400" i="1"/>
  <c r="S400" i="1"/>
  <c r="T400" i="1"/>
  <c r="U400" i="1"/>
  <c r="V400" i="1"/>
  <c r="W400" i="1"/>
  <c r="X400" i="1"/>
  <c r="Y400" i="1"/>
  <c r="Q401" i="1"/>
  <c r="R401" i="1"/>
  <c r="S401" i="1"/>
  <c r="T401" i="1"/>
  <c r="U401" i="1"/>
  <c r="V401" i="1"/>
  <c r="W401" i="1"/>
  <c r="X401" i="1"/>
  <c r="Y401" i="1"/>
  <c r="Q402" i="1"/>
  <c r="R402" i="1"/>
  <c r="S402" i="1"/>
  <c r="T402" i="1"/>
  <c r="U402" i="1"/>
  <c r="V402" i="1"/>
  <c r="W402" i="1"/>
  <c r="X402" i="1"/>
  <c r="Y402" i="1"/>
  <c r="Q403" i="1"/>
  <c r="R403" i="1"/>
  <c r="S403" i="1"/>
  <c r="T403" i="1"/>
  <c r="U403" i="1"/>
  <c r="V403" i="1"/>
  <c r="W403" i="1"/>
  <c r="X403" i="1"/>
  <c r="Y403" i="1"/>
  <c r="Q404" i="1"/>
  <c r="R404" i="1"/>
  <c r="S404" i="1"/>
  <c r="T404" i="1"/>
  <c r="U404" i="1"/>
  <c r="V404" i="1"/>
  <c r="W404" i="1"/>
  <c r="X404" i="1"/>
  <c r="Y404" i="1"/>
  <c r="Q405" i="1"/>
  <c r="R405" i="1"/>
  <c r="S405" i="1"/>
  <c r="T405" i="1"/>
  <c r="U405" i="1"/>
  <c r="V405" i="1"/>
  <c r="W405" i="1"/>
  <c r="X405" i="1"/>
  <c r="Y405" i="1"/>
  <c r="Q406" i="1"/>
  <c r="R406" i="1"/>
  <c r="S406" i="1"/>
  <c r="T406" i="1"/>
  <c r="U406" i="1"/>
  <c r="V406" i="1"/>
  <c r="W406" i="1"/>
  <c r="X406" i="1"/>
  <c r="Y406" i="1"/>
  <c r="Q407" i="1"/>
  <c r="R407" i="1"/>
  <c r="S407" i="1"/>
  <c r="T407" i="1"/>
  <c r="U407" i="1"/>
  <c r="V407" i="1"/>
  <c r="W407" i="1"/>
  <c r="X407" i="1"/>
  <c r="Y407" i="1"/>
  <c r="Q408" i="1"/>
  <c r="R408" i="1"/>
  <c r="S408" i="1"/>
  <c r="T408" i="1"/>
  <c r="U408" i="1"/>
  <c r="V408" i="1"/>
  <c r="W408" i="1"/>
  <c r="X408" i="1"/>
  <c r="Y408" i="1"/>
  <c r="Q409" i="1"/>
  <c r="R409" i="1"/>
  <c r="S409" i="1"/>
  <c r="T409" i="1"/>
  <c r="U409" i="1"/>
  <c r="V409" i="1"/>
  <c r="W409" i="1"/>
  <c r="X409" i="1"/>
  <c r="Y409" i="1"/>
  <c r="Q410" i="1"/>
  <c r="R410" i="1"/>
  <c r="S410" i="1"/>
  <c r="T410" i="1"/>
  <c r="U410" i="1"/>
  <c r="V410" i="1"/>
  <c r="W410" i="1"/>
  <c r="X410" i="1"/>
  <c r="Y410" i="1"/>
  <c r="Q411" i="1"/>
  <c r="R411" i="1"/>
  <c r="S411" i="1"/>
  <c r="T411" i="1"/>
  <c r="U411" i="1"/>
  <c r="V411" i="1"/>
  <c r="W411" i="1"/>
  <c r="X411" i="1"/>
  <c r="Y411" i="1"/>
  <c r="Q412" i="1"/>
  <c r="R412" i="1"/>
  <c r="S412" i="1"/>
  <c r="T412" i="1"/>
  <c r="U412" i="1"/>
  <c r="V412" i="1"/>
  <c r="W412" i="1"/>
  <c r="X412" i="1"/>
  <c r="Y412" i="1"/>
  <c r="Q413" i="1"/>
  <c r="R413" i="1"/>
  <c r="S413" i="1"/>
  <c r="T413" i="1"/>
  <c r="U413" i="1"/>
  <c r="V413" i="1"/>
  <c r="W413" i="1"/>
  <c r="X413" i="1"/>
  <c r="Y413" i="1"/>
  <c r="Q414" i="1"/>
  <c r="R414" i="1"/>
  <c r="S414" i="1"/>
  <c r="T414" i="1"/>
  <c r="U414" i="1"/>
  <c r="V414" i="1"/>
  <c r="W414" i="1"/>
  <c r="X414" i="1"/>
  <c r="Y414" i="1"/>
  <c r="Q415" i="1"/>
  <c r="R415" i="1"/>
  <c r="S415" i="1"/>
  <c r="T415" i="1"/>
  <c r="U415" i="1"/>
  <c r="V415" i="1"/>
  <c r="W415" i="1"/>
  <c r="X415" i="1"/>
  <c r="Y415" i="1"/>
  <c r="Q416" i="1"/>
  <c r="R416" i="1"/>
  <c r="S416" i="1"/>
  <c r="T416" i="1"/>
  <c r="U416" i="1"/>
  <c r="V416" i="1"/>
  <c r="W416" i="1"/>
  <c r="X416" i="1"/>
  <c r="Y416" i="1"/>
  <c r="Q417" i="1"/>
  <c r="R417" i="1"/>
  <c r="S417" i="1"/>
  <c r="T417" i="1"/>
  <c r="U417" i="1"/>
  <c r="V417" i="1"/>
  <c r="W417" i="1"/>
  <c r="X417" i="1"/>
  <c r="Y417" i="1"/>
  <c r="Q418" i="1"/>
  <c r="R418" i="1"/>
  <c r="S418" i="1"/>
  <c r="T418" i="1"/>
  <c r="U418" i="1"/>
  <c r="V418" i="1"/>
  <c r="W418" i="1"/>
  <c r="X418" i="1"/>
  <c r="Y418" i="1"/>
  <c r="Q419" i="1"/>
  <c r="R419" i="1"/>
  <c r="S419" i="1"/>
  <c r="T419" i="1"/>
  <c r="U419" i="1"/>
  <c r="V419" i="1"/>
  <c r="W419" i="1"/>
  <c r="X419" i="1"/>
  <c r="Y419" i="1"/>
  <c r="Q420" i="1"/>
  <c r="R420" i="1"/>
  <c r="S420" i="1"/>
  <c r="T420" i="1"/>
  <c r="U420" i="1"/>
  <c r="V420" i="1"/>
  <c r="W420" i="1"/>
  <c r="X420" i="1"/>
  <c r="Y420" i="1"/>
  <c r="Q421" i="1"/>
  <c r="R421" i="1"/>
  <c r="S421" i="1"/>
  <c r="T421" i="1"/>
  <c r="U421" i="1"/>
  <c r="V421" i="1"/>
  <c r="W421" i="1"/>
  <c r="X421" i="1"/>
  <c r="Y421" i="1"/>
  <c r="Q422" i="1"/>
  <c r="R422" i="1"/>
  <c r="S422" i="1"/>
  <c r="T422" i="1"/>
  <c r="U422" i="1"/>
  <c r="V422" i="1"/>
  <c r="W422" i="1"/>
  <c r="X422" i="1"/>
  <c r="Y422" i="1"/>
  <c r="Q423" i="1"/>
  <c r="R423" i="1"/>
  <c r="S423" i="1"/>
  <c r="T423" i="1"/>
  <c r="U423" i="1"/>
  <c r="V423" i="1"/>
  <c r="W423" i="1"/>
  <c r="X423" i="1"/>
  <c r="Y423" i="1"/>
  <c r="Q424" i="1"/>
  <c r="R424" i="1"/>
  <c r="S424" i="1"/>
  <c r="T424" i="1"/>
  <c r="U424" i="1"/>
  <c r="V424" i="1"/>
  <c r="W424" i="1"/>
  <c r="X424" i="1"/>
  <c r="Y424" i="1"/>
  <c r="Q425" i="1"/>
  <c r="R425" i="1"/>
  <c r="S425" i="1"/>
  <c r="T425" i="1"/>
  <c r="U425" i="1"/>
  <c r="V425" i="1"/>
  <c r="W425" i="1"/>
  <c r="X425" i="1"/>
  <c r="Y425" i="1"/>
  <c r="Q426" i="1"/>
  <c r="R426" i="1"/>
  <c r="S426" i="1"/>
  <c r="T426" i="1"/>
  <c r="U426" i="1"/>
  <c r="V426" i="1"/>
  <c r="W426" i="1"/>
  <c r="X426" i="1"/>
  <c r="Y426" i="1"/>
  <c r="Q427" i="1"/>
  <c r="R427" i="1"/>
  <c r="S427" i="1"/>
  <c r="T427" i="1"/>
  <c r="U427" i="1"/>
  <c r="V427" i="1"/>
  <c r="W427" i="1"/>
  <c r="X427" i="1"/>
  <c r="Y427" i="1"/>
  <c r="Q428" i="1"/>
  <c r="R428" i="1"/>
  <c r="S428" i="1"/>
  <c r="T428" i="1"/>
  <c r="U428" i="1"/>
  <c r="V428" i="1"/>
  <c r="W428" i="1"/>
  <c r="X428" i="1"/>
  <c r="Y428" i="1"/>
  <c r="Q429" i="1"/>
  <c r="R429" i="1"/>
  <c r="S429" i="1"/>
  <c r="T429" i="1"/>
  <c r="U429" i="1"/>
  <c r="V429" i="1"/>
  <c r="W429" i="1"/>
  <c r="X429" i="1"/>
  <c r="Y429" i="1"/>
  <c r="Q430" i="1"/>
  <c r="R430" i="1"/>
  <c r="S430" i="1"/>
  <c r="T430" i="1"/>
  <c r="U430" i="1"/>
  <c r="V430" i="1"/>
  <c r="W430" i="1"/>
  <c r="X430" i="1"/>
  <c r="Y430" i="1"/>
  <c r="Q431" i="1"/>
  <c r="R431" i="1"/>
  <c r="S431" i="1"/>
  <c r="T431" i="1"/>
  <c r="U431" i="1"/>
  <c r="V431" i="1"/>
  <c r="W431" i="1"/>
  <c r="X431" i="1"/>
  <c r="Y431" i="1"/>
  <c r="Q432" i="1"/>
  <c r="R432" i="1"/>
  <c r="S432" i="1"/>
  <c r="T432" i="1"/>
  <c r="U432" i="1"/>
  <c r="V432" i="1"/>
  <c r="W432" i="1"/>
  <c r="X432" i="1"/>
  <c r="Y432" i="1"/>
  <c r="Q433" i="1"/>
  <c r="R433" i="1"/>
  <c r="S433" i="1"/>
  <c r="T433" i="1"/>
  <c r="U433" i="1"/>
  <c r="V433" i="1"/>
  <c r="W433" i="1"/>
  <c r="X433" i="1"/>
  <c r="Y433" i="1"/>
  <c r="Q434" i="1"/>
  <c r="R434" i="1"/>
  <c r="S434" i="1"/>
  <c r="T434" i="1"/>
  <c r="U434" i="1"/>
  <c r="V434" i="1"/>
  <c r="W434" i="1"/>
  <c r="X434" i="1"/>
  <c r="Y434" i="1"/>
  <c r="Q435" i="1"/>
  <c r="R435" i="1"/>
  <c r="S435" i="1"/>
  <c r="T435" i="1"/>
  <c r="U435" i="1"/>
  <c r="V435" i="1"/>
  <c r="W435" i="1"/>
  <c r="X435" i="1"/>
  <c r="Y435" i="1"/>
  <c r="Q436" i="1"/>
  <c r="R436" i="1"/>
  <c r="S436" i="1"/>
  <c r="T436" i="1"/>
  <c r="U436" i="1"/>
  <c r="V436" i="1"/>
  <c r="W436" i="1"/>
  <c r="X436" i="1"/>
  <c r="Y436" i="1"/>
  <c r="Q437" i="1"/>
  <c r="R437" i="1"/>
  <c r="S437" i="1"/>
  <c r="T437" i="1"/>
  <c r="U437" i="1"/>
  <c r="V437" i="1"/>
  <c r="W437" i="1"/>
  <c r="X437" i="1"/>
  <c r="Y437" i="1"/>
  <c r="Q438" i="1"/>
  <c r="R438" i="1"/>
  <c r="S438" i="1"/>
  <c r="T438" i="1"/>
  <c r="U438" i="1"/>
  <c r="V438" i="1"/>
  <c r="W438" i="1"/>
  <c r="X438" i="1"/>
  <c r="Y438" i="1"/>
  <c r="Q439" i="1"/>
  <c r="R439" i="1"/>
  <c r="S439" i="1"/>
  <c r="T439" i="1"/>
  <c r="U439" i="1"/>
  <c r="V439" i="1"/>
  <c r="W439" i="1"/>
  <c r="X439" i="1"/>
  <c r="Y439" i="1"/>
  <c r="Q440" i="1"/>
  <c r="R440" i="1"/>
  <c r="S440" i="1"/>
  <c r="T440" i="1"/>
  <c r="U440" i="1"/>
  <c r="V440" i="1"/>
  <c r="W440" i="1"/>
  <c r="X440" i="1"/>
  <c r="Y440" i="1"/>
  <c r="Q441" i="1"/>
  <c r="R441" i="1"/>
  <c r="S441" i="1"/>
  <c r="T441" i="1"/>
  <c r="U441" i="1"/>
  <c r="V441" i="1"/>
  <c r="W441" i="1"/>
  <c r="X441" i="1"/>
  <c r="Y441" i="1"/>
  <c r="Q442" i="1"/>
  <c r="R442" i="1"/>
  <c r="S442" i="1"/>
  <c r="T442" i="1"/>
  <c r="U442" i="1"/>
  <c r="V442" i="1"/>
  <c r="W442" i="1"/>
  <c r="X442" i="1"/>
  <c r="Y442" i="1"/>
  <c r="Q443" i="1"/>
  <c r="R443" i="1"/>
  <c r="S443" i="1"/>
  <c r="T443" i="1"/>
  <c r="U443" i="1"/>
  <c r="V443" i="1"/>
  <c r="W443" i="1"/>
  <c r="X443" i="1"/>
  <c r="Y443" i="1"/>
  <c r="Q444" i="1"/>
  <c r="R444" i="1"/>
  <c r="S444" i="1"/>
  <c r="T444" i="1"/>
  <c r="U444" i="1"/>
  <c r="V444" i="1"/>
  <c r="W444" i="1"/>
  <c r="X444" i="1"/>
  <c r="Y444" i="1"/>
  <c r="Q445" i="1"/>
  <c r="R445" i="1"/>
  <c r="S445" i="1"/>
  <c r="T445" i="1"/>
  <c r="U445" i="1"/>
  <c r="V445" i="1"/>
  <c r="W445" i="1"/>
  <c r="X445" i="1"/>
  <c r="Y445" i="1"/>
  <c r="Q446" i="1"/>
  <c r="R446" i="1"/>
  <c r="S446" i="1"/>
  <c r="T446" i="1"/>
  <c r="U446" i="1"/>
  <c r="V446" i="1"/>
  <c r="W446" i="1"/>
  <c r="X446" i="1"/>
  <c r="Y446" i="1"/>
  <c r="Q447" i="1"/>
  <c r="R447" i="1"/>
  <c r="S447" i="1"/>
  <c r="T447" i="1"/>
  <c r="U447" i="1"/>
  <c r="V447" i="1"/>
  <c r="W447" i="1"/>
  <c r="X447" i="1"/>
  <c r="Y447" i="1"/>
  <c r="Q448" i="1"/>
  <c r="R448" i="1"/>
  <c r="S448" i="1"/>
  <c r="T448" i="1"/>
  <c r="U448" i="1"/>
  <c r="V448" i="1"/>
  <c r="W448" i="1"/>
  <c r="X448" i="1"/>
  <c r="Y448" i="1"/>
  <c r="Q449" i="1"/>
  <c r="R449" i="1"/>
  <c r="S449" i="1"/>
  <c r="T449" i="1"/>
  <c r="U449" i="1"/>
  <c r="V449" i="1"/>
  <c r="W449" i="1"/>
  <c r="X449" i="1"/>
  <c r="Y449" i="1"/>
  <c r="Q450" i="1"/>
  <c r="R450" i="1"/>
  <c r="S450" i="1"/>
  <c r="T450" i="1"/>
  <c r="U450" i="1"/>
  <c r="V450" i="1"/>
  <c r="W450" i="1"/>
  <c r="X450" i="1"/>
  <c r="Y450" i="1"/>
  <c r="Q451" i="1"/>
  <c r="R451" i="1"/>
  <c r="S451" i="1"/>
  <c r="T451" i="1"/>
  <c r="U451" i="1"/>
  <c r="V451" i="1"/>
  <c r="W451" i="1"/>
  <c r="X451" i="1"/>
  <c r="Y451" i="1"/>
  <c r="Q452" i="1"/>
  <c r="R452" i="1"/>
  <c r="S452" i="1"/>
  <c r="T452" i="1"/>
  <c r="U452" i="1"/>
  <c r="V452" i="1"/>
  <c r="W452" i="1"/>
  <c r="X452" i="1"/>
  <c r="Y452" i="1"/>
  <c r="Q453" i="1"/>
  <c r="R453" i="1"/>
  <c r="S453" i="1"/>
  <c r="T453" i="1"/>
  <c r="U453" i="1"/>
  <c r="V453" i="1"/>
  <c r="W453" i="1"/>
  <c r="X453" i="1"/>
  <c r="Y453" i="1"/>
  <c r="Q454" i="1"/>
  <c r="R454" i="1"/>
  <c r="S454" i="1"/>
  <c r="T454" i="1"/>
  <c r="U454" i="1"/>
  <c r="V454" i="1"/>
  <c r="W454" i="1"/>
  <c r="X454" i="1"/>
  <c r="Y454" i="1"/>
  <c r="Q455" i="1"/>
  <c r="R455" i="1"/>
  <c r="S455" i="1"/>
  <c r="T455" i="1"/>
  <c r="U455" i="1"/>
  <c r="V455" i="1"/>
  <c r="W455" i="1"/>
  <c r="X455" i="1"/>
  <c r="Y455" i="1"/>
  <c r="Q456" i="1"/>
  <c r="R456" i="1"/>
  <c r="S456" i="1"/>
  <c r="T456" i="1"/>
  <c r="U456" i="1"/>
  <c r="V456" i="1"/>
  <c r="W456" i="1"/>
  <c r="X456" i="1"/>
  <c r="Y456" i="1"/>
  <c r="Q457" i="1"/>
  <c r="R457" i="1"/>
  <c r="S457" i="1"/>
  <c r="T457" i="1"/>
  <c r="U457" i="1"/>
  <c r="V457" i="1"/>
  <c r="W457" i="1"/>
  <c r="X457" i="1"/>
  <c r="Y457" i="1"/>
  <c r="Q458" i="1"/>
  <c r="R458" i="1"/>
  <c r="S458" i="1"/>
  <c r="T458" i="1"/>
  <c r="U458" i="1"/>
  <c r="V458" i="1"/>
  <c r="W458" i="1"/>
  <c r="X458" i="1"/>
  <c r="Y458" i="1"/>
  <c r="Q459" i="1"/>
  <c r="R459" i="1"/>
  <c r="S459" i="1"/>
  <c r="T459" i="1"/>
  <c r="U459" i="1"/>
  <c r="V459" i="1"/>
  <c r="W459" i="1"/>
  <c r="X459" i="1"/>
  <c r="Y459" i="1"/>
  <c r="Q460" i="1"/>
  <c r="R460" i="1"/>
  <c r="S460" i="1"/>
  <c r="T460" i="1"/>
  <c r="U460" i="1"/>
  <c r="V460" i="1"/>
  <c r="W460" i="1"/>
  <c r="X460" i="1"/>
  <c r="Y460" i="1"/>
  <c r="Q461" i="1"/>
  <c r="R461" i="1"/>
  <c r="S461" i="1"/>
  <c r="T461" i="1"/>
  <c r="U461" i="1"/>
  <c r="V461" i="1"/>
  <c r="W461" i="1"/>
  <c r="X461" i="1"/>
  <c r="Y461" i="1"/>
  <c r="Q462" i="1"/>
  <c r="R462" i="1"/>
  <c r="S462" i="1"/>
  <c r="T462" i="1"/>
  <c r="U462" i="1"/>
  <c r="V462" i="1"/>
  <c r="W462" i="1"/>
  <c r="X462" i="1"/>
  <c r="Y462" i="1"/>
  <c r="Q463" i="1"/>
  <c r="R463" i="1"/>
  <c r="S463" i="1"/>
  <c r="T463" i="1"/>
  <c r="U463" i="1"/>
  <c r="V463" i="1"/>
  <c r="W463" i="1"/>
  <c r="X463" i="1"/>
  <c r="Y463" i="1"/>
  <c r="Q464" i="1"/>
  <c r="R464" i="1"/>
  <c r="S464" i="1"/>
  <c r="T464" i="1"/>
  <c r="U464" i="1"/>
  <c r="V464" i="1"/>
  <c r="W464" i="1"/>
  <c r="X464" i="1"/>
  <c r="Y464" i="1"/>
  <c r="Q465" i="1"/>
  <c r="R465" i="1"/>
  <c r="S465" i="1"/>
  <c r="T465" i="1"/>
  <c r="U465" i="1"/>
  <c r="V465" i="1"/>
  <c r="W465" i="1"/>
  <c r="X465" i="1"/>
  <c r="Y465" i="1"/>
  <c r="Q466" i="1"/>
  <c r="R466" i="1"/>
  <c r="S466" i="1"/>
  <c r="T466" i="1"/>
  <c r="U466" i="1"/>
  <c r="V466" i="1"/>
  <c r="W466" i="1"/>
  <c r="X466" i="1"/>
  <c r="Y466" i="1"/>
  <c r="Q467" i="1"/>
  <c r="R467" i="1"/>
  <c r="S467" i="1"/>
  <c r="T467" i="1"/>
  <c r="U467" i="1"/>
  <c r="V467" i="1"/>
  <c r="W467" i="1"/>
  <c r="X467" i="1"/>
  <c r="Y467" i="1"/>
  <c r="Q468" i="1"/>
  <c r="R468" i="1"/>
  <c r="S468" i="1"/>
  <c r="T468" i="1"/>
  <c r="U468" i="1"/>
  <c r="V468" i="1"/>
  <c r="W468" i="1"/>
  <c r="X468" i="1"/>
  <c r="Y468" i="1"/>
  <c r="Q469" i="1"/>
  <c r="R469" i="1"/>
  <c r="S469" i="1"/>
  <c r="T469" i="1"/>
  <c r="U469" i="1"/>
  <c r="V469" i="1"/>
  <c r="W469" i="1"/>
  <c r="X469" i="1"/>
  <c r="Y469" i="1"/>
  <c r="Q470" i="1"/>
  <c r="R470" i="1"/>
  <c r="S470" i="1"/>
  <c r="T470" i="1"/>
  <c r="U470" i="1"/>
  <c r="V470" i="1"/>
  <c r="W470" i="1"/>
  <c r="X470" i="1"/>
  <c r="Y470" i="1"/>
  <c r="Q471" i="1"/>
  <c r="R471" i="1"/>
  <c r="S471" i="1"/>
  <c r="T471" i="1"/>
  <c r="U471" i="1"/>
  <c r="V471" i="1"/>
  <c r="W471" i="1"/>
  <c r="X471" i="1"/>
  <c r="Y471" i="1"/>
  <c r="Q472" i="1"/>
  <c r="R472" i="1"/>
  <c r="S472" i="1"/>
  <c r="T472" i="1"/>
  <c r="U472" i="1"/>
  <c r="V472" i="1"/>
  <c r="W472" i="1"/>
  <c r="X472" i="1"/>
  <c r="Y472" i="1"/>
  <c r="Q473" i="1"/>
  <c r="R473" i="1"/>
  <c r="S473" i="1"/>
  <c r="T473" i="1"/>
  <c r="U473" i="1"/>
  <c r="V473" i="1"/>
  <c r="W473" i="1"/>
  <c r="X473" i="1"/>
  <c r="Y473" i="1"/>
  <c r="Q474" i="1"/>
  <c r="R474" i="1"/>
  <c r="S474" i="1"/>
  <c r="T474" i="1"/>
  <c r="U474" i="1"/>
  <c r="V474" i="1"/>
  <c r="W474" i="1"/>
  <c r="X474" i="1"/>
  <c r="Y474" i="1"/>
  <c r="Q475" i="1"/>
  <c r="R475" i="1"/>
  <c r="S475" i="1"/>
  <c r="T475" i="1"/>
  <c r="U475" i="1"/>
  <c r="V475" i="1"/>
  <c r="W475" i="1"/>
  <c r="X475" i="1"/>
  <c r="Y475" i="1"/>
  <c r="Q476" i="1"/>
  <c r="R476" i="1"/>
  <c r="S476" i="1"/>
  <c r="T476" i="1"/>
  <c r="U476" i="1"/>
  <c r="V476" i="1"/>
  <c r="W476" i="1"/>
  <c r="X476" i="1"/>
  <c r="Y476" i="1"/>
  <c r="Q477" i="1"/>
  <c r="R477" i="1"/>
  <c r="S477" i="1"/>
  <c r="T477" i="1"/>
  <c r="U477" i="1"/>
  <c r="V477" i="1"/>
  <c r="W477" i="1"/>
  <c r="X477" i="1"/>
  <c r="Y477" i="1"/>
  <c r="Q478" i="1"/>
  <c r="R478" i="1"/>
  <c r="S478" i="1"/>
  <c r="T478" i="1"/>
  <c r="U478" i="1"/>
  <c r="V478" i="1"/>
  <c r="W478" i="1"/>
  <c r="X478" i="1"/>
  <c r="Y478" i="1"/>
  <c r="Q479" i="1"/>
  <c r="R479" i="1"/>
  <c r="S479" i="1"/>
  <c r="T479" i="1"/>
  <c r="U479" i="1"/>
  <c r="V479" i="1"/>
  <c r="W479" i="1"/>
  <c r="X479" i="1"/>
  <c r="Y479" i="1"/>
  <c r="Q480" i="1"/>
  <c r="R480" i="1"/>
  <c r="S480" i="1"/>
  <c r="T480" i="1"/>
  <c r="U480" i="1"/>
  <c r="V480" i="1"/>
  <c r="W480" i="1"/>
  <c r="X480" i="1"/>
  <c r="Y480" i="1"/>
  <c r="Q481" i="1"/>
  <c r="R481" i="1"/>
  <c r="S481" i="1"/>
  <c r="T481" i="1"/>
  <c r="U481" i="1"/>
  <c r="V481" i="1"/>
  <c r="W481" i="1"/>
  <c r="X481" i="1"/>
  <c r="Y481" i="1"/>
  <c r="Q482" i="1"/>
  <c r="R482" i="1"/>
  <c r="S482" i="1"/>
  <c r="T482" i="1"/>
  <c r="U482" i="1"/>
  <c r="V482" i="1"/>
  <c r="W482" i="1"/>
  <c r="X482" i="1"/>
  <c r="Y482" i="1"/>
  <c r="Q483" i="1"/>
  <c r="R483" i="1"/>
  <c r="S483" i="1"/>
  <c r="T483" i="1"/>
  <c r="U483" i="1"/>
  <c r="V483" i="1"/>
  <c r="W483" i="1"/>
  <c r="X483" i="1"/>
  <c r="Y483" i="1"/>
  <c r="Q484" i="1"/>
  <c r="R484" i="1"/>
  <c r="S484" i="1"/>
  <c r="T484" i="1"/>
  <c r="U484" i="1"/>
  <c r="V484" i="1"/>
  <c r="W484" i="1"/>
  <c r="X484" i="1"/>
  <c r="Y484" i="1"/>
  <c r="Q485" i="1"/>
  <c r="R485" i="1"/>
  <c r="S485" i="1"/>
  <c r="T485" i="1"/>
  <c r="U485" i="1"/>
  <c r="V485" i="1"/>
  <c r="W485" i="1"/>
  <c r="X485" i="1"/>
  <c r="Y485" i="1"/>
  <c r="Q486" i="1"/>
  <c r="R486" i="1"/>
  <c r="S486" i="1"/>
  <c r="T486" i="1"/>
  <c r="U486" i="1"/>
  <c r="V486" i="1"/>
  <c r="W486" i="1"/>
  <c r="X486" i="1"/>
  <c r="Y486" i="1"/>
  <c r="Q487" i="1"/>
  <c r="R487" i="1"/>
  <c r="S487" i="1"/>
  <c r="T487" i="1"/>
  <c r="U487" i="1"/>
  <c r="V487" i="1"/>
  <c r="W487" i="1"/>
  <c r="X487" i="1"/>
  <c r="Y487" i="1"/>
  <c r="Q488" i="1"/>
  <c r="R488" i="1"/>
  <c r="S488" i="1"/>
  <c r="T488" i="1"/>
  <c r="U488" i="1"/>
  <c r="V488" i="1"/>
  <c r="W488" i="1"/>
  <c r="X488" i="1"/>
  <c r="Y488" i="1"/>
  <c r="Q489" i="1"/>
  <c r="R489" i="1"/>
  <c r="S489" i="1"/>
  <c r="T489" i="1"/>
  <c r="U489" i="1"/>
  <c r="V489" i="1"/>
  <c r="W489" i="1"/>
  <c r="X489" i="1"/>
  <c r="Y489" i="1"/>
  <c r="Q490" i="1"/>
  <c r="R490" i="1"/>
  <c r="S490" i="1"/>
  <c r="T490" i="1"/>
  <c r="U490" i="1"/>
  <c r="V490" i="1"/>
  <c r="W490" i="1"/>
  <c r="X490" i="1"/>
  <c r="Y490" i="1"/>
  <c r="Q491" i="1"/>
  <c r="R491" i="1"/>
  <c r="S491" i="1"/>
  <c r="T491" i="1"/>
  <c r="U491" i="1"/>
  <c r="V491" i="1"/>
  <c r="W491" i="1"/>
  <c r="X491" i="1"/>
  <c r="Y491" i="1"/>
  <c r="Q492" i="1"/>
  <c r="R492" i="1"/>
  <c r="S492" i="1"/>
  <c r="T492" i="1"/>
  <c r="U492" i="1"/>
  <c r="V492" i="1"/>
  <c r="W492" i="1"/>
  <c r="X492" i="1"/>
  <c r="Y492" i="1"/>
  <c r="Q493" i="1"/>
  <c r="R493" i="1"/>
  <c r="S493" i="1"/>
  <c r="T493" i="1"/>
  <c r="U493" i="1"/>
  <c r="V493" i="1"/>
  <c r="W493" i="1"/>
  <c r="X493" i="1"/>
  <c r="Y493" i="1"/>
  <c r="Q494" i="1"/>
  <c r="R494" i="1"/>
  <c r="S494" i="1"/>
  <c r="T494" i="1"/>
  <c r="U494" i="1"/>
  <c r="V494" i="1"/>
  <c r="W494" i="1"/>
  <c r="X494" i="1"/>
  <c r="Y494" i="1"/>
  <c r="Q495" i="1"/>
  <c r="R495" i="1"/>
  <c r="S495" i="1"/>
  <c r="T495" i="1"/>
  <c r="U495" i="1"/>
  <c r="V495" i="1"/>
  <c r="W495" i="1"/>
  <c r="X495" i="1"/>
  <c r="Y495" i="1"/>
  <c r="Q496" i="1"/>
  <c r="R496" i="1"/>
  <c r="S496" i="1"/>
  <c r="T496" i="1"/>
  <c r="U496" i="1"/>
  <c r="V496" i="1"/>
  <c r="W496" i="1"/>
  <c r="X496" i="1"/>
  <c r="Y496" i="1"/>
  <c r="Q497" i="1"/>
  <c r="R497" i="1"/>
  <c r="S497" i="1"/>
  <c r="T497" i="1"/>
  <c r="U497" i="1"/>
  <c r="V497" i="1"/>
  <c r="W497" i="1"/>
  <c r="X497" i="1"/>
  <c r="Y497" i="1"/>
  <c r="Q498" i="1"/>
  <c r="R498" i="1"/>
  <c r="S498" i="1"/>
  <c r="T498" i="1"/>
  <c r="U498" i="1"/>
  <c r="V498" i="1"/>
  <c r="W498" i="1"/>
  <c r="X498" i="1"/>
  <c r="Y498" i="1"/>
  <c r="Q499" i="1"/>
  <c r="R499" i="1"/>
  <c r="S499" i="1"/>
  <c r="T499" i="1"/>
  <c r="U499" i="1"/>
  <c r="V499" i="1"/>
  <c r="W499" i="1"/>
  <c r="X499" i="1"/>
  <c r="Y499" i="1"/>
  <c r="Q500" i="1"/>
  <c r="R500" i="1"/>
  <c r="S500" i="1"/>
  <c r="T500" i="1"/>
  <c r="U500" i="1"/>
  <c r="V500" i="1"/>
  <c r="W500" i="1"/>
  <c r="X500" i="1"/>
  <c r="Y500" i="1"/>
  <c r="Q501" i="1"/>
  <c r="R501" i="1"/>
  <c r="S501" i="1"/>
  <c r="T501" i="1"/>
  <c r="U501" i="1"/>
  <c r="V501" i="1"/>
  <c r="W501" i="1"/>
  <c r="X501" i="1"/>
  <c r="Y501" i="1"/>
  <c r="Q502" i="1"/>
  <c r="R502" i="1"/>
  <c r="S502" i="1"/>
  <c r="T502" i="1"/>
  <c r="U502" i="1"/>
  <c r="V502" i="1"/>
  <c r="W502" i="1"/>
  <c r="X502" i="1"/>
  <c r="Y502" i="1"/>
  <c r="Q503" i="1"/>
  <c r="R503" i="1"/>
  <c r="S503" i="1"/>
  <c r="T503" i="1"/>
  <c r="U503" i="1"/>
  <c r="V503" i="1"/>
  <c r="W503" i="1"/>
  <c r="X503" i="1"/>
  <c r="Y503" i="1"/>
  <c r="Q504" i="1"/>
  <c r="R504" i="1"/>
  <c r="S504" i="1"/>
  <c r="T504" i="1"/>
  <c r="U504" i="1"/>
  <c r="V504" i="1"/>
  <c r="W504" i="1"/>
  <c r="X504" i="1"/>
  <c r="Y504" i="1"/>
  <c r="Q505" i="1"/>
  <c r="R505" i="1"/>
  <c r="S505" i="1"/>
  <c r="T505" i="1"/>
  <c r="U505" i="1"/>
  <c r="V505" i="1"/>
  <c r="W505" i="1"/>
  <c r="X505" i="1"/>
  <c r="Y505" i="1"/>
  <c r="Q506" i="1"/>
  <c r="R506" i="1"/>
  <c r="S506" i="1"/>
  <c r="T506" i="1"/>
  <c r="U506" i="1"/>
  <c r="V506" i="1"/>
  <c r="W506" i="1"/>
  <c r="X506" i="1"/>
  <c r="Y506" i="1"/>
  <c r="Q507" i="1"/>
  <c r="R507" i="1"/>
  <c r="S507" i="1"/>
  <c r="T507" i="1"/>
  <c r="U507" i="1"/>
  <c r="V507" i="1"/>
  <c r="W507" i="1"/>
  <c r="X507" i="1"/>
  <c r="Y507" i="1"/>
  <c r="Q508" i="1"/>
  <c r="R508" i="1"/>
  <c r="S508" i="1"/>
  <c r="T508" i="1"/>
  <c r="U508" i="1"/>
  <c r="V508" i="1"/>
  <c r="W508" i="1"/>
  <c r="X508" i="1"/>
  <c r="Y508" i="1"/>
  <c r="Q509" i="1"/>
  <c r="R509" i="1"/>
  <c r="S509" i="1"/>
  <c r="T509" i="1"/>
  <c r="U509" i="1"/>
  <c r="V509" i="1"/>
  <c r="W509" i="1"/>
  <c r="X509" i="1"/>
  <c r="Y509" i="1"/>
  <c r="Q510" i="1"/>
  <c r="R510" i="1"/>
  <c r="S510" i="1"/>
  <c r="T510" i="1"/>
  <c r="U510" i="1"/>
  <c r="V510" i="1"/>
  <c r="W510" i="1"/>
  <c r="X510" i="1"/>
  <c r="Y510" i="1"/>
  <c r="Q511" i="1"/>
  <c r="R511" i="1"/>
  <c r="S511" i="1"/>
  <c r="T511" i="1"/>
  <c r="U511" i="1"/>
  <c r="V511" i="1"/>
  <c r="W511" i="1"/>
  <c r="X511" i="1"/>
  <c r="Y511" i="1"/>
  <c r="Q512" i="1"/>
  <c r="R512" i="1"/>
  <c r="S512" i="1"/>
  <c r="T512" i="1"/>
  <c r="U512" i="1"/>
  <c r="V512" i="1"/>
  <c r="W512" i="1"/>
  <c r="X512" i="1"/>
  <c r="Y512" i="1"/>
  <c r="Q513" i="1"/>
  <c r="R513" i="1"/>
  <c r="S513" i="1"/>
  <c r="T513" i="1"/>
  <c r="U513" i="1"/>
  <c r="V513" i="1"/>
  <c r="W513" i="1"/>
  <c r="X513" i="1"/>
  <c r="Y513" i="1"/>
  <c r="Q514" i="1"/>
  <c r="R514" i="1"/>
  <c r="S514" i="1"/>
  <c r="T514" i="1"/>
  <c r="U514" i="1"/>
  <c r="V514" i="1"/>
  <c r="W514" i="1"/>
  <c r="X514" i="1"/>
  <c r="Y514" i="1"/>
  <c r="Q515" i="1"/>
  <c r="R515" i="1"/>
  <c r="S515" i="1"/>
  <c r="T515" i="1"/>
  <c r="U515" i="1"/>
  <c r="V515" i="1"/>
  <c r="W515" i="1"/>
  <c r="X515" i="1"/>
  <c r="Y515" i="1"/>
  <c r="Q516" i="1"/>
  <c r="R516" i="1"/>
  <c r="S516" i="1"/>
  <c r="T516" i="1"/>
  <c r="U516" i="1"/>
  <c r="V516" i="1"/>
  <c r="W516" i="1"/>
  <c r="X516" i="1"/>
  <c r="Y516" i="1"/>
  <c r="Q517" i="1"/>
  <c r="R517" i="1"/>
  <c r="S517" i="1"/>
  <c r="T517" i="1"/>
  <c r="U517" i="1"/>
  <c r="V517" i="1"/>
  <c r="W517" i="1"/>
  <c r="X517" i="1"/>
  <c r="Y517" i="1"/>
  <c r="Q518" i="1"/>
  <c r="R518" i="1"/>
  <c r="S518" i="1"/>
  <c r="T518" i="1"/>
  <c r="U518" i="1"/>
  <c r="V518" i="1"/>
  <c r="W518" i="1"/>
  <c r="X518" i="1"/>
  <c r="Y518" i="1"/>
  <c r="Q519" i="1"/>
  <c r="R519" i="1"/>
  <c r="S519" i="1"/>
  <c r="T519" i="1"/>
  <c r="U519" i="1"/>
  <c r="V519" i="1"/>
  <c r="W519" i="1"/>
  <c r="X519" i="1"/>
  <c r="Y519" i="1"/>
  <c r="Q520" i="1"/>
  <c r="R520" i="1"/>
  <c r="S520" i="1"/>
  <c r="T520" i="1"/>
  <c r="U520" i="1"/>
  <c r="V520" i="1"/>
  <c r="W520" i="1"/>
  <c r="X520" i="1"/>
  <c r="Y520" i="1"/>
  <c r="Q521" i="1"/>
  <c r="R521" i="1"/>
  <c r="S521" i="1"/>
  <c r="T521" i="1"/>
  <c r="U521" i="1"/>
  <c r="V521" i="1"/>
  <c r="W521" i="1"/>
  <c r="X521" i="1"/>
  <c r="Y521" i="1"/>
  <c r="Q522" i="1"/>
  <c r="R522" i="1"/>
  <c r="S522" i="1"/>
  <c r="T522" i="1"/>
  <c r="U522" i="1"/>
  <c r="V522" i="1"/>
  <c r="W522" i="1"/>
  <c r="X522" i="1"/>
  <c r="Y522" i="1"/>
  <c r="Q523" i="1"/>
  <c r="R523" i="1"/>
  <c r="S523" i="1"/>
  <c r="T523" i="1"/>
  <c r="U523" i="1"/>
  <c r="V523" i="1"/>
  <c r="W523" i="1"/>
  <c r="X523" i="1"/>
  <c r="Y523" i="1"/>
  <c r="Q524" i="1"/>
  <c r="R524" i="1"/>
  <c r="S524" i="1"/>
  <c r="T524" i="1"/>
  <c r="U524" i="1"/>
  <c r="V524" i="1"/>
  <c r="W524" i="1"/>
  <c r="X524" i="1"/>
  <c r="Y524" i="1"/>
  <c r="Q525" i="1"/>
  <c r="R525" i="1"/>
  <c r="S525" i="1"/>
  <c r="T525" i="1"/>
  <c r="U525" i="1"/>
  <c r="V525" i="1"/>
  <c r="W525" i="1"/>
  <c r="X525" i="1"/>
  <c r="Y525" i="1"/>
  <c r="Q526" i="1"/>
  <c r="R526" i="1"/>
  <c r="S526" i="1"/>
  <c r="T526" i="1"/>
  <c r="U526" i="1"/>
  <c r="V526" i="1"/>
  <c r="W526" i="1"/>
  <c r="X526" i="1"/>
  <c r="Y526" i="1"/>
  <c r="Q527" i="1"/>
  <c r="R527" i="1"/>
  <c r="S527" i="1"/>
  <c r="T527" i="1"/>
  <c r="U527" i="1"/>
  <c r="V527" i="1"/>
  <c r="W527" i="1"/>
  <c r="X527" i="1"/>
  <c r="Y527" i="1"/>
  <c r="Q528" i="1"/>
  <c r="R528" i="1"/>
  <c r="S528" i="1"/>
  <c r="T528" i="1"/>
  <c r="U528" i="1"/>
  <c r="V528" i="1"/>
  <c r="W528" i="1"/>
  <c r="X528" i="1"/>
  <c r="Y528" i="1"/>
  <c r="Q529" i="1"/>
  <c r="R529" i="1"/>
  <c r="S529" i="1"/>
  <c r="T529" i="1"/>
  <c r="U529" i="1"/>
  <c r="V529" i="1"/>
  <c r="W529" i="1"/>
  <c r="X529" i="1"/>
  <c r="Y529" i="1"/>
  <c r="Q530" i="1"/>
  <c r="R530" i="1"/>
  <c r="S530" i="1"/>
  <c r="T530" i="1"/>
  <c r="U530" i="1"/>
  <c r="V530" i="1"/>
  <c r="W530" i="1"/>
  <c r="X530" i="1"/>
  <c r="Y530" i="1"/>
  <c r="Q531" i="1"/>
  <c r="R531" i="1"/>
  <c r="S531" i="1"/>
  <c r="T531" i="1"/>
  <c r="U531" i="1"/>
  <c r="V531" i="1"/>
  <c r="W531" i="1"/>
  <c r="X531" i="1"/>
  <c r="Y531" i="1"/>
  <c r="Q532" i="1"/>
  <c r="R532" i="1"/>
  <c r="S532" i="1"/>
  <c r="T532" i="1"/>
  <c r="U532" i="1"/>
  <c r="V532" i="1"/>
  <c r="W532" i="1"/>
  <c r="X532" i="1"/>
  <c r="Y532" i="1"/>
  <c r="Q533" i="1"/>
  <c r="R533" i="1"/>
  <c r="S533" i="1"/>
  <c r="T533" i="1"/>
  <c r="U533" i="1"/>
  <c r="V533" i="1"/>
  <c r="W533" i="1"/>
  <c r="X533" i="1"/>
  <c r="Y533" i="1"/>
  <c r="Q534" i="1"/>
  <c r="R534" i="1"/>
  <c r="S534" i="1"/>
  <c r="T534" i="1"/>
  <c r="U534" i="1"/>
  <c r="V534" i="1"/>
  <c r="W534" i="1"/>
  <c r="X534" i="1"/>
  <c r="Y534" i="1"/>
  <c r="Q535" i="1"/>
  <c r="R535" i="1"/>
  <c r="S535" i="1"/>
  <c r="T535" i="1"/>
  <c r="U535" i="1"/>
  <c r="V535" i="1"/>
  <c r="W535" i="1"/>
  <c r="X535" i="1"/>
  <c r="Y535" i="1"/>
  <c r="Q536" i="1"/>
  <c r="R536" i="1"/>
  <c r="S536" i="1"/>
  <c r="T536" i="1"/>
  <c r="U536" i="1"/>
  <c r="V536" i="1"/>
  <c r="W536" i="1"/>
  <c r="X536" i="1"/>
  <c r="Y536" i="1"/>
  <c r="Q537" i="1"/>
  <c r="R537" i="1"/>
  <c r="S537" i="1"/>
  <c r="T537" i="1"/>
  <c r="U537" i="1"/>
  <c r="V537" i="1"/>
  <c r="W537" i="1"/>
  <c r="X537" i="1"/>
  <c r="Y537" i="1"/>
  <c r="Q538" i="1"/>
  <c r="R538" i="1"/>
  <c r="S538" i="1"/>
  <c r="T538" i="1"/>
  <c r="U538" i="1"/>
  <c r="V538" i="1"/>
  <c r="W538" i="1"/>
  <c r="X538" i="1"/>
  <c r="Y538" i="1"/>
  <c r="Q539" i="1"/>
  <c r="R539" i="1"/>
  <c r="S539" i="1"/>
  <c r="T539" i="1"/>
  <c r="U539" i="1"/>
  <c r="V539" i="1"/>
  <c r="W539" i="1"/>
  <c r="X539" i="1"/>
  <c r="Y539" i="1"/>
  <c r="Q540" i="1"/>
  <c r="R540" i="1"/>
  <c r="S540" i="1"/>
  <c r="T540" i="1"/>
  <c r="U540" i="1"/>
  <c r="V540" i="1"/>
  <c r="W540" i="1"/>
  <c r="X540" i="1"/>
  <c r="Y540" i="1"/>
  <c r="Q541" i="1"/>
  <c r="R541" i="1"/>
  <c r="S541" i="1"/>
  <c r="T541" i="1"/>
  <c r="U541" i="1"/>
  <c r="V541" i="1"/>
  <c r="W541" i="1"/>
  <c r="X541" i="1"/>
  <c r="Y541" i="1"/>
  <c r="Q542" i="1"/>
  <c r="R542" i="1"/>
  <c r="S542" i="1"/>
  <c r="T542" i="1"/>
  <c r="U542" i="1"/>
  <c r="V542" i="1"/>
  <c r="W542" i="1"/>
  <c r="X542" i="1"/>
  <c r="Y542" i="1"/>
  <c r="Q543" i="1"/>
  <c r="R543" i="1"/>
  <c r="S543" i="1"/>
  <c r="T543" i="1"/>
  <c r="U543" i="1"/>
  <c r="V543" i="1"/>
  <c r="W543" i="1"/>
  <c r="X543" i="1"/>
  <c r="Y543" i="1"/>
  <c r="Q544" i="1"/>
  <c r="R544" i="1"/>
  <c r="S544" i="1"/>
  <c r="T544" i="1"/>
  <c r="U544" i="1"/>
  <c r="V544" i="1"/>
  <c r="W544" i="1"/>
  <c r="X544" i="1"/>
  <c r="Y544" i="1"/>
  <c r="Q545" i="1"/>
  <c r="R545" i="1"/>
  <c r="S545" i="1"/>
  <c r="T545" i="1"/>
  <c r="U545" i="1"/>
  <c r="V545" i="1"/>
  <c r="W545" i="1"/>
  <c r="X545" i="1"/>
  <c r="Y545" i="1"/>
  <c r="Q546" i="1"/>
  <c r="R546" i="1"/>
  <c r="S546" i="1"/>
  <c r="T546" i="1"/>
  <c r="U546" i="1"/>
  <c r="V546" i="1"/>
  <c r="W546" i="1"/>
  <c r="X546" i="1"/>
  <c r="Y546" i="1"/>
  <c r="Q547" i="1"/>
  <c r="R547" i="1"/>
  <c r="S547" i="1"/>
  <c r="T547" i="1"/>
  <c r="U547" i="1"/>
  <c r="V547" i="1"/>
  <c r="W547" i="1"/>
  <c r="X547" i="1"/>
  <c r="Y547" i="1"/>
  <c r="Q548" i="1"/>
  <c r="R548" i="1"/>
  <c r="S548" i="1"/>
  <c r="T548" i="1"/>
  <c r="U548" i="1"/>
  <c r="V548" i="1"/>
  <c r="W548" i="1"/>
  <c r="X548" i="1"/>
  <c r="Y548" i="1"/>
  <c r="Q549" i="1"/>
  <c r="R549" i="1"/>
  <c r="S549" i="1"/>
  <c r="T549" i="1"/>
  <c r="U549" i="1"/>
  <c r="V549" i="1"/>
  <c r="W549" i="1"/>
  <c r="X549" i="1"/>
  <c r="Y549" i="1"/>
  <c r="Q550" i="1"/>
  <c r="R550" i="1"/>
  <c r="S550" i="1"/>
  <c r="T550" i="1"/>
  <c r="U550" i="1"/>
  <c r="V550" i="1"/>
  <c r="W550" i="1"/>
  <c r="X550" i="1"/>
  <c r="Y550" i="1"/>
  <c r="Q551" i="1"/>
  <c r="R551" i="1"/>
  <c r="S551" i="1"/>
  <c r="T551" i="1"/>
  <c r="U551" i="1"/>
  <c r="V551" i="1"/>
  <c r="W551" i="1"/>
  <c r="X551" i="1"/>
  <c r="Y551" i="1"/>
  <c r="Q552" i="1"/>
  <c r="R552" i="1"/>
  <c r="S552" i="1"/>
  <c r="T552" i="1"/>
  <c r="U552" i="1"/>
  <c r="V552" i="1"/>
  <c r="W552" i="1"/>
  <c r="X552" i="1"/>
  <c r="Y552" i="1"/>
  <c r="Q553" i="1"/>
  <c r="R553" i="1"/>
  <c r="S553" i="1"/>
  <c r="T553" i="1"/>
  <c r="U553" i="1"/>
  <c r="V553" i="1"/>
  <c r="W553" i="1"/>
  <c r="X553" i="1"/>
  <c r="Y553" i="1"/>
  <c r="Q554" i="1"/>
  <c r="R554" i="1"/>
  <c r="S554" i="1"/>
  <c r="T554" i="1"/>
  <c r="U554" i="1"/>
  <c r="V554" i="1"/>
  <c r="W554" i="1"/>
  <c r="X554" i="1"/>
  <c r="Y554" i="1"/>
  <c r="Q555" i="1"/>
  <c r="R555" i="1"/>
  <c r="S555" i="1"/>
  <c r="T555" i="1"/>
  <c r="U555" i="1"/>
  <c r="V555" i="1"/>
  <c r="W555" i="1"/>
  <c r="X555" i="1"/>
  <c r="Y555" i="1"/>
  <c r="Q556" i="1"/>
  <c r="R556" i="1"/>
  <c r="S556" i="1"/>
  <c r="T556" i="1"/>
  <c r="U556" i="1"/>
  <c r="V556" i="1"/>
  <c r="W556" i="1"/>
  <c r="X556" i="1"/>
  <c r="Y556" i="1"/>
  <c r="Q557" i="1"/>
  <c r="R557" i="1"/>
  <c r="S557" i="1"/>
  <c r="T557" i="1"/>
  <c r="U557" i="1"/>
  <c r="V557" i="1"/>
  <c r="W557" i="1"/>
  <c r="X557" i="1"/>
  <c r="Y557" i="1"/>
  <c r="Q558" i="1"/>
  <c r="R558" i="1"/>
  <c r="S558" i="1"/>
  <c r="T558" i="1"/>
  <c r="U558" i="1"/>
  <c r="V558" i="1"/>
  <c r="W558" i="1"/>
  <c r="X558" i="1"/>
  <c r="Y558" i="1"/>
  <c r="Q559" i="1"/>
  <c r="R559" i="1"/>
  <c r="S559" i="1"/>
  <c r="T559" i="1"/>
  <c r="U559" i="1"/>
  <c r="V559" i="1"/>
  <c r="W559" i="1"/>
  <c r="X559" i="1"/>
  <c r="Y559" i="1"/>
  <c r="Q560" i="1"/>
  <c r="R560" i="1"/>
  <c r="S560" i="1"/>
  <c r="T560" i="1"/>
  <c r="U560" i="1"/>
  <c r="V560" i="1"/>
  <c r="W560" i="1"/>
  <c r="X560" i="1"/>
  <c r="Y560" i="1"/>
  <c r="Q561" i="1"/>
  <c r="R561" i="1"/>
  <c r="S561" i="1"/>
  <c r="T561" i="1"/>
  <c r="U561" i="1"/>
  <c r="V561" i="1"/>
  <c r="W561" i="1"/>
  <c r="X561" i="1"/>
  <c r="Y561" i="1"/>
  <c r="Q562" i="1"/>
  <c r="R562" i="1"/>
  <c r="S562" i="1"/>
  <c r="T562" i="1"/>
  <c r="U562" i="1"/>
  <c r="V562" i="1"/>
  <c r="W562" i="1"/>
  <c r="X562" i="1"/>
  <c r="Y562" i="1"/>
  <c r="Q563" i="1"/>
  <c r="R563" i="1"/>
  <c r="S563" i="1"/>
  <c r="T563" i="1"/>
  <c r="U563" i="1"/>
  <c r="V563" i="1"/>
  <c r="W563" i="1"/>
  <c r="X563" i="1"/>
  <c r="Y563" i="1"/>
  <c r="Q564" i="1"/>
  <c r="R564" i="1"/>
  <c r="S564" i="1"/>
  <c r="T564" i="1"/>
  <c r="U564" i="1"/>
  <c r="V564" i="1"/>
  <c r="W564" i="1"/>
  <c r="X564" i="1"/>
  <c r="Y564" i="1"/>
  <c r="Q565" i="1"/>
  <c r="R565" i="1"/>
  <c r="S565" i="1"/>
  <c r="T565" i="1"/>
  <c r="U565" i="1"/>
  <c r="V565" i="1"/>
  <c r="W565" i="1"/>
  <c r="X565" i="1"/>
  <c r="Y565" i="1"/>
  <c r="Q566" i="1"/>
  <c r="R566" i="1"/>
  <c r="S566" i="1"/>
  <c r="T566" i="1"/>
  <c r="U566" i="1"/>
  <c r="V566" i="1"/>
  <c r="W566" i="1"/>
  <c r="X566" i="1"/>
  <c r="Y566" i="1"/>
  <c r="Q567" i="1"/>
  <c r="R567" i="1"/>
  <c r="S567" i="1"/>
  <c r="T567" i="1"/>
  <c r="U567" i="1"/>
  <c r="V567" i="1"/>
  <c r="W567" i="1"/>
  <c r="X567" i="1"/>
  <c r="Y567" i="1"/>
  <c r="Q568" i="1"/>
  <c r="R568" i="1"/>
  <c r="S568" i="1"/>
  <c r="T568" i="1"/>
  <c r="U568" i="1"/>
  <c r="V568" i="1"/>
  <c r="W568" i="1"/>
  <c r="X568" i="1"/>
  <c r="Y568" i="1"/>
  <c r="Q569" i="1"/>
  <c r="R569" i="1"/>
  <c r="S569" i="1"/>
  <c r="T569" i="1"/>
  <c r="U569" i="1"/>
  <c r="V569" i="1"/>
  <c r="W569" i="1"/>
  <c r="X569" i="1"/>
  <c r="Y569" i="1"/>
  <c r="Q570" i="1"/>
  <c r="R570" i="1"/>
  <c r="S570" i="1"/>
  <c r="T570" i="1"/>
  <c r="U570" i="1"/>
  <c r="V570" i="1"/>
  <c r="W570" i="1"/>
  <c r="X570" i="1"/>
  <c r="Y570" i="1"/>
  <c r="Q571" i="1"/>
  <c r="R571" i="1"/>
  <c r="S571" i="1"/>
  <c r="T571" i="1"/>
  <c r="U571" i="1"/>
  <c r="V571" i="1"/>
  <c r="W571" i="1"/>
  <c r="X571" i="1"/>
  <c r="Y571" i="1"/>
  <c r="Q572" i="1"/>
  <c r="R572" i="1"/>
  <c r="S572" i="1"/>
  <c r="T572" i="1"/>
  <c r="U572" i="1"/>
  <c r="V572" i="1"/>
  <c r="W572" i="1"/>
  <c r="X572" i="1"/>
  <c r="Y572" i="1"/>
  <c r="Q573" i="1"/>
  <c r="R573" i="1"/>
  <c r="S573" i="1"/>
  <c r="T573" i="1"/>
  <c r="U573" i="1"/>
  <c r="V573" i="1"/>
  <c r="W573" i="1"/>
  <c r="X573" i="1"/>
  <c r="Y573" i="1"/>
  <c r="Q574" i="1"/>
  <c r="R574" i="1"/>
  <c r="S574" i="1"/>
  <c r="T574" i="1"/>
  <c r="U574" i="1"/>
  <c r="V574" i="1"/>
  <c r="W574" i="1"/>
  <c r="X574" i="1"/>
  <c r="Y574" i="1"/>
  <c r="Q575" i="1"/>
  <c r="R575" i="1"/>
  <c r="S575" i="1"/>
  <c r="T575" i="1"/>
  <c r="U575" i="1"/>
  <c r="V575" i="1"/>
  <c r="W575" i="1"/>
  <c r="X575" i="1"/>
  <c r="Y575" i="1"/>
  <c r="Q576" i="1"/>
  <c r="R576" i="1"/>
  <c r="S576" i="1"/>
  <c r="T576" i="1"/>
  <c r="U576" i="1"/>
  <c r="V576" i="1"/>
  <c r="W576" i="1"/>
  <c r="X576" i="1"/>
  <c r="Y576" i="1"/>
  <c r="Q577" i="1"/>
  <c r="R577" i="1"/>
  <c r="S577" i="1"/>
  <c r="T577" i="1"/>
  <c r="U577" i="1"/>
  <c r="V577" i="1"/>
  <c r="W577" i="1"/>
  <c r="X577" i="1"/>
  <c r="Y577" i="1"/>
  <c r="Q578" i="1"/>
  <c r="R578" i="1"/>
  <c r="S578" i="1"/>
  <c r="T578" i="1"/>
  <c r="U578" i="1"/>
  <c r="V578" i="1"/>
  <c r="W578" i="1"/>
  <c r="X578" i="1"/>
  <c r="Y578" i="1"/>
  <c r="Q579" i="1"/>
  <c r="R579" i="1"/>
  <c r="S579" i="1"/>
  <c r="T579" i="1"/>
  <c r="U579" i="1"/>
  <c r="V579" i="1"/>
  <c r="W579" i="1"/>
  <c r="X579" i="1"/>
  <c r="Y579" i="1"/>
  <c r="Q580" i="1"/>
  <c r="R580" i="1"/>
  <c r="S580" i="1"/>
  <c r="T580" i="1"/>
  <c r="U580" i="1"/>
  <c r="V580" i="1"/>
  <c r="W580" i="1"/>
  <c r="X580" i="1"/>
  <c r="Y580" i="1"/>
  <c r="Q581" i="1"/>
  <c r="R581" i="1"/>
  <c r="S581" i="1"/>
  <c r="T581" i="1"/>
  <c r="U581" i="1"/>
  <c r="V581" i="1"/>
  <c r="W581" i="1"/>
  <c r="X581" i="1"/>
  <c r="Y581" i="1"/>
  <c r="Q582" i="1"/>
  <c r="R582" i="1"/>
  <c r="S582" i="1"/>
  <c r="T582" i="1"/>
  <c r="U582" i="1"/>
  <c r="V582" i="1"/>
  <c r="W582" i="1"/>
  <c r="X582" i="1"/>
  <c r="Y582" i="1"/>
  <c r="Q583" i="1"/>
  <c r="R583" i="1"/>
  <c r="S583" i="1"/>
  <c r="T583" i="1"/>
  <c r="U583" i="1"/>
  <c r="V583" i="1"/>
  <c r="W583" i="1"/>
  <c r="X583" i="1"/>
  <c r="Y583" i="1"/>
  <c r="Q584" i="1"/>
  <c r="R584" i="1"/>
  <c r="S584" i="1"/>
  <c r="T584" i="1"/>
  <c r="U584" i="1"/>
  <c r="V584" i="1"/>
  <c r="W584" i="1"/>
  <c r="X584" i="1"/>
  <c r="Y584" i="1"/>
  <c r="Q585" i="1"/>
  <c r="R585" i="1"/>
  <c r="S585" i="1"/>
  <c r="T585" i="1"/>
  <c r="U585" i="1"/>
  <c r="V585" i="1"/>
  <c r="W585" i="1"/>
  <c r="X585" i="1"/>
  <c r="Y585" i="1"/>
  <c r="Q586" i="1"/>
  <c r="R586" i="1"/>
  <c r="S586" i="1"/>
  <c r="T586" i="1"/>
  <c r="U586" i="1"/>
  <c r="V586" i="1"/>
  <c r="W586" i="1"/>
  <c r="X586" i="1"/>
  <c r="Y586" i="1"/>
  <c r="Q587" i="1"/>
  <c r="R587" i="1"/>
  <c r="S587" i="1"/>
  <c r="T587" i="1"/>
  <c r="U587" i="1"/>
  <c r="V587" i="1"/>
  <c r="W587" i="1"/>
  <c r="X587" i="1"/>
  <c r="Y587" i="1"/>
  <c r="Q588" i="1"/>
  <c r="R588" i="1"/>
  <c r="S588" i="1"/>
  <c r="T588" i="1"/>
  <c r="U588" i="1"/>
  <c r="V588" i="1"/>
  <c r="W588" i="1"/>
  <c r="X588" i="1"/>
  <c r="Y588" i="1"/>
  <c r="Q589" i="1"/>
  <c r="R589" i="1"/>
  <c r="S589" i="1"/>
  <c r="T589" i="1"/>
  <c r="U589" i="1"/>
  <c r="V589" i="1"/>
  <c r="W589" i="1"/>
  <c r="X589" i="1"/>
  <c r="Y589" i="1"/>
  <c r="Q590" i="1"/>
  <c r="R590" i="1"/>
  <c r="S590" i="1"/>
  <c r="T590" i="1"/>
  <c r="U590" i="1"/>
  <c r="V590" i="1"/>
  <c r="W590" i="1"/>
  <c r="X590" i="1"/>
  <c r="Y590" i="1"/>
  <c r="Q591" i="1"/>
  <c r="R591" i="1"/>
  <c r="S591" i="1"/>
  <c r="T591" i="1"/>
  <c r="U591" i="1"/>
  <c r="V591" i="1"/>
  <c r="W591" i="1"/>
  <c r="X591" i="1"/>
  <c r="Y591" i="1"/>
  <c r="Q592" i="1"/>
  <c r="R592" i="1"/>
  <c r="S592" i="1"/>
  <c r="T592" i="1"/>
  <c r="U592" i="1"/>
  <c r="V592" i="1"/>
  <c r="W592" i="1"/>
  <c r="X592" i="1"/>
  <c r="Y592" i="1"/>
  <c r="Q593" i="1"/>
  <c r="R593" i="1"/>
  <c r="S593" i="1"/>
  <c r="T593" i="1"/>
  <c r="U593" i="1"/>
  <c r="V593" i="1"/>
  <c r="W593" i="1"/>
  <c r="X593" i="1"/>
  <c r="Y593" i="1"/>
  <c r="Q594" i="1"/>
  <c r="R594" i="1"/>
  <c r="S594" i="1"/>
  <c r="T594" i="1"/>
  <c r="U594" i="1"/>
  <c r="V594" i="1"/>
  <c r="W594" i="1"/>
  <c r="X594" i="1"/>
  <c r="Y594" i="1"/>
  <c r="Q595" i="1"/>
  <c r="R595" i="1"/>
  <c r="S595" i="1"/>
  <c r="T595" i="1"/>
  <c r="U595" i="1"/>
  <c r="V595" i="1"/>
  <c r="W595" i="1"/>
  <c r="X595" i="1"/>
  <c r="Y595" i="1"/>
  <c r="Q596" i="1"/>
  <c r="R596" i="1"/>
  <c r="S596" i="1"/>
  <c r="T596" i="1"/>
  <c r="U596" i="1"/>
  <c r="V596" i="1"/>
  <c r="W596" i="1"/>
  <c r="X596" i="1"/>
  <c r="Y596" i="1"/>
  <c r="Q597" i="1"/>
  <c r="R597" i="1"/>
  <c r="S597" i="1"/>
  <c r="T597" i="1"/>
  <c r="U597" i="1"/>
  <c r="V597" i="1"/>
  <c r="W597" i="1"/>
  <c r="X597" i="1"/>
  <c r="Y597" i="1"/>
  <c r="Q598" i="1"/>
  <c r="R598" i="1"/>
  <c r="S598" i="1"/>
  <c r="T598" i="1"/>
  <c r="U598" i="1"/>
  <c r="V598" i="1"/>
  <c r="W598" i="1"/>
  <c r="X598" i="1"/>
  <c r="Y598" i="1"/>
  <c r="Q599" i="1"/>
  <c r="R599" i="1"/>
  <c r="S599" i="1"/>
  <c r="T599" i="1"/>
  <c r="U599" i="1"/>
  <c r="V599" i="1"/>
  <c r="W599" i="1"/>
  <c r="X599" i="1"/>
  <c r="Y599" i="1"/>
  <c r="Q600" i="1"/>
  <c r="R600" i="1"/>
  <c r="S600" i="1"/>
  <c r="T600" i="1"/>
  <c r="U600" i="1"/>
  <c r="V600" i="1"/>
  <c r="W600" i="1"/>
  <c r="X600" i="1"/>
  <c r="Y600" i="1"/>
  <c r="Q601" i="1"/>
  <c r="R601" i="1"/>
  <c r="S601" i="1"/>
  <c r="T601" i="1"/>
  <c r="U601" i="1"/>
  <c r="V601" i="1"/>
  <c r="W601" i="1"/>
  <c r="X601" i="1"/>
  <c r="Y601" i="1"/>
  <c r="Q602" i="1"/>
  <c r="R602" i="1"/>
  <c r="S602" i="1"/>
  <c r="T602" i="1"/>
  <c r="U602" i="1"/>
  <c r="V602" i="1"/>
  <c r="W602" i="1"/>
  <c r="X602" i="1"/>
  <c r="Y602" i="1"/>
  <c r="Q603" i="1"/>
  <c r="R603" i="1"/>
  <c r="S603" i="1"/>
  <c r="T603" i="1"/>
  <c r="U603" i="1"/>
  <c r="V603" i="1"/>
  <c r="W603" i="1"/>
  <c r="X603" i="1"/>
  <c r="Y603" i="1"/>
  <c r="Q604" i="1"/>
  <c r="R604" i="1"/>
  <c r="S604" i="1"/>
  <c r="T604" i="1"/>
  <c r="U604" i="1"/>
  <c r="V604" i="1"/>
  <c r="W604" i="1"/>
  <c r="X604" i="1"/>
  <c r="Y604" i="1"/>
  <c r="Q605" i="1"/>
  <c r="R605" i="1"/>
  <c r="S605" i="1"/>
  <c r="T605" i="1"/>
  <c r="U605" i="1"/>
  <c r="V605" i="1"/>
  <c r="W605" i="1"/>
  <c r="X605" i="1"/>
  <c r="Y605" i="1"/>
  <c r="Q606" i="1"/>
  <c r="R606" i="1"/>
  <c r="S606" i="1"/>
  <c r="T606" i="1"/>
  <c r="U606" i="1"/>
  <c r="V606" i="1"/>
  <c r="W606" i="1"/>
  <c r="X606" i="1"/>
  <c r="Y606" i="1"/>
  <c r="Q607" i="1"/>
  <c r="R607" i="1"/>
  <c r="S607" i="1"/>
  <c r="T607" i="1"/>
  <c r="U607" i="1"/>
  <c r="V607" i="1"/>
  <c r="W607" i="1"/>
  <c r="X607" i="1"/>
  <c r="Y607" i="1"/>
  <c r="Q608" i="1"/>
  <c r="R608" i="1"/>
  <c r="S608" i="1"/>
  <c r="T608" i="1"/>
  <c r="U608" i="1"/>
  <c r="V608" i="1"/>
  <c r="W608" i="1"/>
  <c r="X608" i="1"/>
  <c r="Y608" i="1"/>
  <c r="Q609" i="1"/>
  <c r="R609" i="1"/>
  <c r="S609" i="1"/>
  <c r="T609" i="1"/>
  <c r="U609" i="1"/>
  <c r="V609" i="1"/>
  <c r="W609" i="1"/>
  <c r="X609" i="1"/>
  <c r="Y609" i="1"/>
  <c r="Q610" i="1"/>
  <c r="R610" i="1"/>
  <c r="S610" i="1"/>
  <c r="T610" i="1"/>
  <c r="U610" i="1"/>
  <c r="V610" i="1"/>
  <c r="W610" i="1"/>
  <c r="X610" i="1"/>
  <c r="Y610" i="1"/>
  <c r="Q611" i="1"/>
  <c r="R611" i="1"/>
  <c r="S611" i="1"/>
  <c r="T611" i="1"/>
  <c r="U611" i="1"/>
  <c r="V611" i="1"/>
  <c r="W611" i="1"/>
  <c r="X611" i="1"/>
  <c r="Y611" i="1"/>
  <c r="Q612" i="1"/>
  <c r="R612" i="1"/>
  <c r="S612" i="1"/>
  <c r="T612" i="1"/>
  <c r="U612" i="1"/>
  <c r="V612" i="1"/>
  <c r="W612" i="1"/>
  <c r="X612" i="1"/>
  <c r="Y612" i="1"/>
  <c r="Q613" i="1"/>
  <c r="R613" i="1"/>
  <c r="S613" i="1"/>
  <c r="T613" i="1"/>
  <c r="U613" i="1"/>
  <c r="V613" i="1"/>
  <c r="W613" i="1"/>
  <c r="X613" i="1"/>
  <c r="Y613" i="1"/>
  <c r="Q614" i="1"/>
  <c r="R614" i="1"/>
  <c r="S614" i="1"/>
  <c r="T614" i="1"/>
  <c r="U614" i="1"/>
  <c r="V614" i="1"/>
  <c r="W614" i="1"/>
  <c r="X614" i="1"/>
  <c r="Y614" i="1"/>
  <c r="Q615" i="1"/>
  <c r="R615" i="1"/>
  <c r="S615" i="1"/>
  <c r="T615" i="1"/>
  <c r="U615" i="1"/>
  <c r="V615" i="1"/>
  <c r="W615" i="1"/>
  <c r="X615" i="1"/>
  <c r="Y615" i="1"/>
  <c r="Q616" i="1"/>
  <c r="R616" i="1"/>
  <c r="S616" i="1"/>
  <c r="T616" i="1"/>
  <c r="U616" i="1"/>
  <c r="V616" i="1"/>
  <c r="W616" i="1"/>
  <c r="X616" i="1"/>
  <c r="Y616" i="1"/>
  <c r="Q617" i="1"/>
  <c r="R617" i="1"/>
  <c r="S617" i="1"/>
  <c r="T617" i="1"/>
  <c r="U617" i="1"/>
  <c r="V617" i="1"/>
  <c r="W617" i="1"/>
  <c r="X617" i="1"/>
  <c r="Y617" i="1"/>
  <c r="Q618" i="1"/>
  <c r="R618" i="1"/>
  <c r="S618" i="1"/>
  <c r="T618" i="1"/>
  <c r="U618" i="1"/>
  <c r="V618" i="1"/>
  <c r="W618" i="1"/>
  <c r="X618" i="1"/>
  <c r="Y618" i="1"/>
  <c r="Q619" i="1"/>
  <c r="R619" i="1"/>
  <c r="S619" i="1"/>
  <c r="T619" i="1"/>
  <c r="U619" i="1"/>
  <c r="V619" i="1"/>
  <c r="W619" i="1"/>
  <c r="X619" i="1"/>
  <c r="Y619" i="1"/>
  <c r="Q620" i="1"/>
  <c r="R620" i="1"/>
  <c r="S620" i="1"/>
  <c r="T620" i="1"/>
  <c r="U620" i="1"/>
  <c r="V620" i="1"/>
  <c r="W620" i="1"/>
  <c r="X620" i="1"/>
  <c r="Y620" i="1"/>
  <c r="Q621" i="1"/>
  <c r="R621" i="1"/>
  <c r="S621" i="1"/>
  <c r="T621" i="1"/>
  <c r="U621" i="1"/>
  <c r="V621" i="1"/>
  <c r="W621" i="1"/>
  <c r="X621" i="1"/>
  <c r="Y621" i="1"/>
  <c r="Q622" i="1"/>
  <c r="R622" i="1"/>
  <c r="S622" i="1"/>
  <c r="T622" i="1"/>
  <c r="U622" i="1"/>
  <c r="V622" i="1"/>
  <c r="W622" i="1"/>
  <c r="X622" i="1"/>
  <c r="Y622" i="1"/>
  <c r="Q623" i="1"/>
  <c r="R623" i="1"/>
  <c r="S623" i="1"/>
  <c r="T623" i="1"/>
  <c r="U623" i="1"/>
  <c r="V623" i="1"/>
  <c r="W623" i="1"/>
  <c r="X623" i="1"/>
  <c r="Y623" i="1"/>
  <c r="Q624" i="1"/>
  <c r="R624" i="1"/>
  <c r="S624" i="1"/>
  <c r="T624" i="1"/>
  <c r="U624" i="1"/>
  <c r="V624" i="1"/>
  <c r="W624" i="1"/>
  <c r="X624" i="1"/>
  <c r="Y624" i="1"/>
  <c r="Q625" i="1"/>
  <c r="R625" i="1"/>
  <c r="S625" i="1"/>
  <c r="T625" i="1"/>
  <c r="U625" i="1"/>
  <c r="V625" i="1"/>
  <c r="W625" i="1"/>
  <c r="X625" i="1"/>
  <c r="Y625" i="1"/>
  <c r="Q626" i="1"/>
  <c r="R626" i="1"/>
  <c r="S626" i="1"/>
  <c r="T626" i="1"/>
  <c r="U626" i="1"/>
  <c r="V626" i="1"/>
  <c r="W626" i="1"/>
  <c r="X626" i="1"/>
  <c r="Y626" i="1"/>
  <c r="Q627" i="1"/>
  <c r="R627" i="1"/>
  <c r="S627" i="1"/>
  <c r="T627" i="1"/>
  <c r="U627" i="1"/>
  <c r="V627" i="1"/>
  <c r="W627" i="1"/>
  <c r="X627" i="1"/>
  <c r="Y627" i="1"/>
  <c r="Q628" i="1"/>
  <c r="R628" i="1"/>
  <c r="S628" i="1"/>
  <c r="T628" i="1"/>
  <c r="U628" i="1"/>
  <c r="V628" i="1"/>
  <c r="W628" i="1"/>
  <c r="X628" i="1"/>
  <c r="Y628" i="1"/>
  <c r="Q629" i="1"/>
  <c r="R629" i="1"/>
  <c r="S629" i="1"/>
  <c r="T629" i="1"/>
  <c r="U629" i="1"/>
  <c r="V629" i="1"/>
  <c r="W629" i="1"/>
  <c r="X629" i="1"/>
  <c r="Y629" i="1"/>
  <c r="Q630" i="1"/>
  <c r="R630" i="1"/>
  <c r="S630" i="1"/>
  <c r="T630" i="1"/>
  <c r="U630" i="1"/>
  <c r="V630" i="1"/>
  <c r="W630" i="1"/>
  <c r="X630" i="1"/>
  <c r="Y630" i="1"/>
  <c r="Q631" i="1"/>
  <c r="R631" i="1"/>
  <c r="S631" i="1"/>
  <c r="T631" i="1"/>
  <c r="U631" i="1"/>
  <c r="V631" i="1"/>
  <c r="W631" i="1"/>
  <c r="X631" i="1"/>
  <c r="Y631" i="1"/>
  <c r="Q632" i="1"/>
  <c r="R632" i="1"/>
  <c r="S632" i="1"/>
  <c r="T632" i="1"/>
  <c r="U632" i="1"/>
  <c r="V632" i="1"/>
  <c r="W632" i="1"/>
  <c r="X632" i="1"/>
  <c r="Y632" i="1"/>
  <c r="Q633" i="1"/>
  <c r="R633" i="1"/>
  <c r="S633" i="1"/>
  <c r="T633" i="1"/>
  <c r="U633" i="1"/>
  <c r="V633" i="1"/>
  <c r="W633" i="1"/>
  <c r="X633" i="1"/>
  <c r="Y633" i="1"/>
  <c r="Q634" i="1"/>
  <c r="R634" i="1"/>
  <c r="S634" i="1"/>
  <c r="T634" i="1"/>
  <c r="U634" i="1"/>
  <c r="V634" i="1"/>
  <c r="W634" i="1"/>
  <c r="X634" i="1"/>
  <c r="Y634" i="1"/>
  <c r="Q635" i="1"/>
  <c r="R635" i="1"/>
  <c r="S635" i="1"/>
  <c r="T635" i="1"/>
  <c r="U635" i="1"/>
  <c r="V635" i="1"/>
  <c r="W635" i="1"/>
  <c r="X635" i="1"/>
  <c r="Y635" i="1"/>
  <c r="Q636" i="1"/>
  <c r="R636" i="1"/>
  <c r="S636" i="1"/>
  <c r="T636" i="1"/>
  <c r="U636" i="1"/>
  <c r="V636" i="1"/>
  <c r="W636" i="1"/>
  <c r="X636" i="1"/>
  <c r="Y636" i="1"/>
  <c r="Q637" i="1"/>
  <c r="R637" i="1"/>
  <c r="S637" i="1"/>
  <c r="T637" i="1"/>
  <c r="U637" i="1"/>
  <c r="V637" i="1"/>
  <c r="W637" i="1"/>
  <c r="X637" i="1"/>
  <c r="Y637" i="1"/>
  <c r="Q638" i="1"/>
  <c r="R638" i="1"/>
  <c r="S638" i="1"/>
  <c r="T638" i="1"/>
  <c r="U638" i="1"/>
  <c r="V638" i="1"/>
  <c r="W638" i="1"/>
  <c r="X638" i="1"/>
  <c r="Y638" i="1"/>
  <c r="Q639" i="1"/>
  <c r="R639" i="1"/>
  <c r="S639" i="1"/>
  <c r="T639" i="1"/>
  <c r="U639" i="1"/>
  <c r="V639" i="1"/>
  <c r="W639" i="1"/>
  <c r="X639" i="1"/>
  <c r="Y639" i="1"/>
  <c r="Q640" i="1"/>
  <c r="R640" i="1"/>
  <c r="S640" i="1"/>
  <c r="T640" i="1"/>
  <c r="U640" i="1"/>
  <c r="V640" i="1"/>
  <c r="W640" i="1"/>
  <c r="X640" i="1"/>
  <c r="Y640" i="1"/>
  <c r="Q641" i="1"/>
  <c r="R641" i="1"/>
  <c r="S641" i="1"/>
  <c r="T641" i="1"/>
  <c r="U641" i="1"/>
  <c r="V641" i="1"/>
  <c r="W641" i="1"/>
  <c r="X641" i="1"/>
  <c r="Y641" i="1"/>
  <c r="Q642" i="1"/>
  <c r="R642" i="1"/>
  <c r="S642" i="1"/>
  <c r="T642" i="1"/>
  <c r="U642" i="1"/>
  <c r="V642" i="1"/>
  <c r="W642" i="1"/>
  <c r="X642" i="1"/>
  <c r="Y642" i="1"/>
  <c r="Q643" i="1"/>
  <c r="R643" i="1"/>
  <c r="S643" i="1"/>
  <c r="T643" i="1"/>
  <c r="U643" i="1"/>
  <c r="V643" i="1"/>
  <c r="W643" i="1"/>
  <c r="X643" i="1"/>
  <c r="Y643" i="1"/>
  <c r="Q644" i="1"/>
  <c r="R644" i="1"/>
  <c r="S644" i="1"/>
  <c r="T644" i="1"/>
  <c r="U644" i="1"/>
  <c r="V644" i="1"/>
  <c r="W644" i="1"/>
  <c r="X644" i="1"/>
  <c r="Y644" i="1"/>
  <c r="Q645" i="1"/>
  <c r="R645" i="1"/>
  <c r="S645" i="1"/>
  <c r="T645" i="1"/>
  <c r="U645" i="1"/>
  <c r="V645" i="1"/>
  <c r="W645" i="1"/>
  <c r="X645" i="1"/>
  <c r="Y645" i="1"/>
  <c r="Q646" i="1"/>
  <c r="R646" i="1"/>
  <c r="S646" i="1"/>
  <c r="T646" i="1"/>
  <c r="U646" i="1"/>
  <c r="V646" i="1"/>
  <c r="W646" i="1"/>
  <c r="X646" i="1"/>
  <c r="Y646" i="1"/>
  <c r="Q647" i="1"/>
  <c r="R647" i="1"/>
  <c r="S647" i="1"/>
  <c r="T647" i="1"/>
  <c r="U647" i="1"/>
  <c r="V647" i="1"/>
  <c r="W647" i="1"/>
  <c r="X647" i="1"/>
  <c r="Y647" i="1"/>
  <c r="Q648" i="1"/>
  <c r="R648" i="1"/>
  <c r="S648" i="1"/>
  <c r="T648" i="1"/>
  <c r="U648" i="1"/>
  <c r="V648" i="1"/>
  <c r="W648" i="1"/>
  <c r="X648" i="1"/>
  <c r="Y648" i="1"/>
  <c r="Q649" i="1"/>
  <c r="R649" i="1"/>
  <c r="S649" i="1"/>
  <c r="T649" i="1"/>
  <c r="U649" i="1"/>
  <c r="V649" i="1"/>
  <c r="W649" i="1"/>
  <c r="X649" i="1"/>
  <c r="Y649" i="1"/>
  <c r="Q650" i="1"/>
  <c r="R650" i="1"/>
  <c r="S650" i="1"/>
  <c r="T650" i="1"/>
  <c r="U650" i="1"/>
  <c r="V650" i="1"/>
  <c r="W650" i="1"/>
  <c r="X650" i="1"/>
  <c r="Y650" i="1"/>
  <c r="Q651" i="1"/>
  <c r="R651" i="1"/>
  <c r="S651" i="1"/>
  <c r="T651" i="1"/>
  <c r="U651" i="1"/>
  <c r="V651" i="1"/>
  <c r="W651" i="1"/>
  <c r="X651" i="1"/>
  <c r="Y651" i="1"/>
  <c r="Q652" i="1"/>
  <c r="R652" i="1"/>
  <c r="S652" i="1"/>
  <c r="T652" i="1"/>
  <c r="U652" i="1"/>
  <c r="V652" i="1"/>
  <c r="W652" i="1"/>
  <c r="X652" i="1"/>
  <c r="Y652" i="1"/>
  <c r="Q653" i="1"/>
  <c r="R653" i="1"/>
  <c r="S653" i="1"/>
  <c r="T653" i="1"/>
  <c r="U653" i="1"/>
  <c r="V653" i="1"/>
  <c r="W653" i="1"/>
  <c r="X653" i="1"/>
  <c r="Y653" i="1"/>
  <c r="Q654" i="1"/>
  <c r="R654" i="1"/>
  <c r="S654" i="1"/>
  <c r="T654" i="1"/>
  <c r="U654" i="1"/>
  <c r="V654" i="1"/>
  <c r="W654" i="1"/>
  <c r="X654" i="1"/>
  <c r="Y654" i="1"/>
  <c r="Q655" i="1"/>
  <c r="R655" i="1"/>
  <c r="S655" i="1"/>
  <c r="T655" i="1"/>
  <c r="U655" i="1"/>
  <c r="V655" i="1"/>
  <c r="W655" i="1"/>
  <c r="X655" i="1"/>
  <c r="Y655" i="1"/>
  <c r="Q656" i="1"/>
  <c r="R656" i="1"/>
  <c r="S656" i="1"/>
  <c r="T656" i="1"/>
  <c r="U656" i="1"/>
  <c r="V656" i="1"/>
  <c r="W656" i="1"/>
  <c r="X656" i="1"/>
  <c r="Y656" i="1"/>
  <c r="Q657" i="1"/>
  <c r="R657" i="1"/>
  <c r="S657" i="1"/>
  <c r="T657" i="1"/>
  <c r="U657" i="1"/>
  <c r="V657" i="1"/>
  <c r="W657" i="1"/>
  <c r="X657" i="1"/>
  <c r="Y657" i="1"/>
  <c r="Q658" i="1"/>
  <c r="R658" i="1"/>
  <c r="S658" i="1"/>
  <c r="T658" i="1"/>
  <c r="U658" i="1"/>
  <c r="V658" i="1"/>
  <c r="W658" i="1"/>
  <c r="X658" i="1"/>
  <c r="Y658" i="1"/>
  <c r="Q659" i="1"/>
  <c r="R659" i="1"/>
  <c r="S659" i="1"/>
  <c r="T659" i="1"/>
  <c r="U659" i="1"/>
  <c r="V659" i="1"/>
  <c r="W659" i="1"/>
  <c r="X659" i="1"/>
  <c r="Y659" i="1"/>
  <c r="Q660" i="1"/>
  <c r="R660" i="1"/>
  <c r="S660" i="1"/>
  <c r="T660" i="1"/>
  <c r="U660" i="1"/>
  <c r="V660" i="1"/>
  <c r="W660" i="1"/>
  <c r="X660" i="1"/>
  <c r="Y660" i="1"/>
  <c r="Q661" i="1"/>
  <c r="R661" i="1"/>
  <c r="S661" i="1"/>
  <c r="T661" i="1"/>
  <c r="U661" i="1"/>
  <c r="V661" i="1"/>
  <c r="W661" i="1"/>
  <c r="X661" i="1"/>
  <c r="Y661" i="1"/>
  <c r="Q662" i="1"/>
  <c r="R662" i="1"/>
  <c r="S662" i="1"/>
  <c r="T662" i="1"/>
  <c r="U662" i="1"/>
  <c r="V662" i="1"/>
  <c r="W662" i="1"/>
  <c r="X662" i="1"/>
  <c r="Y662" i="1"/>
  <c r="Q663" i="1"/>
  <c r="R663" i="1"/>
  <c r="S663" i="1"/>
  <c r="T663" i="1"/>
  <c r="U663" i="1"/>
  <c r="V663" i="1"/>
  <c r="W663" i="1"/>
  <c r="X663" i="1"/>
  <c r="Y663" i="1"/>
  <c r="Q664" i="1"/>
  <c r="R664" i="1"/>
  <c r="S664" i="1"/>
  <c r="T664" i="1"/>
  <c r="U664" i="1"/>
  <c r="V664" i="1"/>
  <c r="W664" i="1"/>
  <c r="X664" i="1"/>
  <c r="Y664" i="1"/>
  <c r="Q665" i="1"/>
  <c r="R665" i="1"/>
  <c r="S665" i="1"/>
  <c r="T665" i="1"/>
  <c r="U665" i="1"/>
  <c r="V665" i="1"/>
  <c r="W665" i="1"/>
  <c r="X665" i="1"/>
  <c r="Y665" i="1"/>
  <c r="Q666" i="1"/>
  <c r="R666" i="1"/>
  <c r="S666" i="1"/>
  <c r="T666" i="1"/>
  <c r="U666" i="1"/>
  <c r="V666" i="1"/>
  <c r="W666" i="1"/>
  <c r="X666" i="1"/>
  <c r="Y666" i="1"/>
  <c r="Q667" i="1"/>
  <c r="R667" i="1"/>
  <c r="S667" i="1"/>
  <c r="T667" i="1"/>
  <c r="U667" i="1"/>
  <c r="V667" i="1"/>
  <c r="W667" i="1"/>
  <c r="X667" i="1"/>
  <c r="Y667" i="1"/>
  <c r="Q668" i="1"/>
  <c r="R668" i="1"/>
  <c r="S668" i="1"/>
  <c r="T668" i="1"/>
  <c r="U668" i="1"/>
  <c r="V668" i="1"/>
  <c r="W668" i="1"/>
  <c r="X668" i="1"/>
  <c r="Y668" i="1"/>
  <c r="Q669" i="1"/>
  <c r="R669" i="1"/>
  <c r="S669" i="1"/>
  <c r="T669" i="1"/>
  <c r="U669" i="1"/>
  <c r="V669" i="1"/>
  <c r="W669" i="1"/>
  <c r="X669" i="1"/>
  <c r="Y669" i="1"/>
  <c r="Q670" i="1"/>
  <c r="R670" i="1"/>
  <c r="S670" i="1"/>
  <c r="T670" i="1"/>
  <c r="U670" i="1"/>
  <c r="V670" i="1"/>
  <c r="W670" i="1"/>
  <c r="X670" i="1"/>
  <c r="Y670" i="1"/>
  <c r="Q671" i="1"/>
  <c r="R671" i="1"/>
  <c r="S671" i="1"/>
  <c r="T671" i="1"/>
  <c r="U671" i="1"/>
  <c r="V671" i="1"/>
  <c r="W671" i="1"/>
  <c r="X671" i="1"/>
  <c r="Y671" i="1"/>
  <c r="Q672" i="1"/>
  <c r="R672" i="1"/>
  <c r="S672" i="1"/>
  <c r="T672" i="1"/>
  <c r="U672" i="1"/>
  <c r="V672" i="1"/>
  <c r="W672" i="1"/>
  <c r="X672" i="1"/>
  <c r="Y672" i="1"/>
  <c r="Q673" i="1"/>
  <c r="R673" i="1"/>
  <c r="S673" i="1"/>
  <c r="T673" i="1"/>
  <c r="U673" i="1"/>
  <c r="V673" i="1"/>
  <c r="W673" i="1"/>
  <c r="X673" i="1"/>
  <c r="Y673" i="1"/>
  <c r="Q674" i="1"/>
  <c r="R674" i="1"/>
  <c r="S674" i="1"/>
  <c r="T674" i="1"/>
  <c r="U674" i="1"/>
  <c r="V674" i="1"/>
  <c r="W674" i="1"/>
  <c r="X674" i="1"/>
  <c r="Y674" i="1"/>
  <c r="Q675" i="1"/>
  <c r="R675" i="1"/>
  <c r="S675" i="1"/>
  <c r="T675" i="1"/>
  <c r="U675" i="1"/>
  <c r="V675" i="1"/>
  <c r="W675" i="1"/>
  <c r="X675" i="1"/>
  <c r="Y675" i="1"/>
  <c r="Q676" i="1"/>
  <c r="R676" i="1"/>
  <c r="S676" i="1"/>
  <c r="T676" i="1"/>
  <c r="U676" i="1"/>
  <c r="V676" i="1"/>
  <c r="W676" i="1"/>
  <c r="X676" i="1"/>
  <c r="Y676" i="1"/>
  <c r="Q677" i="1"/>
  <c r="R677" i="1"/>
  <c r="S677" i="1"/>
  <c r="T677" i="1"/>
  <c r="U677" i="1"/>
  <c r="V677" i="1"/>
  <c r="W677" i="1"/>
  <c r="X677" i="1"/>
  <c r="Y677" i="1"/>
  <c r="Q678" i="1"/>
  <c r="R678" i="1"/>
  <c r="S678" i="1"/>
  <c r="T678" i="1"/>
  <c r="U678" i="1"/>
  <c r="V678" i="1"/>
  <c r="W678" i="1"/>
  <c r="X678" i="1"/>
  <c r="Y678" i="1"/>
  <c r="Q679" i="1"/>
  <c r="R679" i="1"/>
  <c r="S679" i="1"/>
  <c r="T679" i="1"/>
  <c r="U679" i="1"/>
  <c r="V679" i="1"/>
  <c r="W679" i="1"/>
  <c r="X679" i="1"/>
  <c r="Y679" i="1"/>
  <c r="Q680" i="1"/>
  <c r="R680" i="1"/>
  <c r="S680" i="1"/>
  <c r="T680" i="1"/>
  <c r="U680" i="1"/>
  <c r="V680" i="1"/>
  <c r="W680" i="1"/>
  <c r="X680" i="1"/>
  <c r="Y680" i="1"/>
  <c r="Q681" i="1"/>
  <c r="R681" i="1"/>
  <c r="S681" i="1"/>
  <c r="T681" i="1"/>
  <c r="U681" i="1"/>
  <c r="V681" i="1"/>
  <c r="W681" i="1"/>
  <c r="X681" i="1"/>
  <c r="Y681" i="1"/>
  <c r="Q682" i="1"/>
  <c r="R682" i="1"/>
  <c r="S682" i="1"/>
  <c r="T682" i="1"/>
  <c r="U682" i="1"/>
  <c r="V682" i="1"/>
  <c r="W682" i="1"/>
  <c r="X682" i="1"/>
  <c r="Y682" i="1"/>
  <c r="Q683" i="1"/>
  <c r="R683" i="1"/>
  <c r="S683" i="1"/>
  <c r="T683" i="1"/>
  <c r="U683" i="1"/>
  <c r="V683" i="1"/>
  <c r="W683" i="1"/>
  <c r="X683" i="1"/>
  <c r="Y683" i="1"/>
  <c r="Q684" i="1"/>
  <c r="R684" i="1"/>
  <c r="S684" i="1"/>
  <c r="T684" i="1"/>
  <c r="U684" i="1"/>
  <c r="V684" i="1"/>
  <c r="W684" i="1"/>
  <c r="X684" i="1"/>
  <c r="Y684" i="1"/>
  <c r="Q685" i="1"/>
  <c r="R685" i="1"/>
  <c r="S685" i="1"/>
  <c r="T685" i="1"/>
  <c r="U685" i="1"/>
  <c r="V685" i="1"/>
  <c r="W685" i="1"/>
  <c r="X685" i="1"/>
  <c r="Y685" i="1"/>
  <c r="Q686" i="1"/>
  <c r="R686" i="1"/>
  <c r="S686" i="1"/>
  <c r="T686" i="1"/>
  <c r="U686" i="1"/>
  <c r="V686" i="1"/>
  <c r="W686" i="1"/>
  <c r="X686" i="1"/>
  <c r="Y686" i="1"/>
  <c r="Q687" i="1"/>
  <c r="R687" i="1"/>
  <c r="S687" i="1"/>
  <c r="T687" i="1"/>
  <c r="U687" i="1"/>
  <c r="V687" i="1"/>
  <c r="W687" i="1"/>
  <c r="X687" i="1"/>
  <c r="Y687" i="1"/>
  <c r="Q688" i="1"/>
  <c r="R688" i="1"/>
  <c r="S688" i="1"/>
  <c r="T688" i="1"/>
  <c r="U688" i="1"/>
  <c r="V688" i="1"/>
  <c r="W688" i="1"/>
  <c r="X688" i="1"/>
  <c r="Y688" i="1"/>
  <c r="Q689" i="1"/>
  <c r="R689" i="1"/>
  <c r="S689" i="1"/>
  <c r="T689" i="1"/>
  <c r="U689" i="1"/>
  <c r="V689" i="1"/>
  <c r="W689" i="1"/>
  <c r="X689" i="1"/>
  <c r="Y689" i="1"/>
  <c r="Q690" i="1"/>
  <c r="R690" i="1"/>
  <c r="S690" i="1"/>
  <c r="T690" i="1"/>
  <c r="U690" i="1"/>
  <c r="V690" i="1"/>
  <c r="W690" i="1"/>
  <c r="X690" i="1"/>
  <c r="Y690" i="1"/>
  <c r="Q691" i="1"/>
  <c r="R691" i="1"/>
  <c r="S691" i="1"/>
  <c r="T691" i="1"/>
  <c r="U691" i="1"/>
  <c r="V691" i="1"/>
  <c r="W691" i="1"/>
  <c r="X691" i="1"/>
  <c r="Y691" i="1"/>
  <c r="Q692" i="1"/>
  <c r="R692" i="1"/>
  <c r="S692" i="1"/>
  <c r="T692" i="1"/>
  <c r="U692" i="1"/>
  <c r="V692" i="1"/>
  <c r="W692" i="1"/>
  <c r="X692" i="1"/>
  <c r="Y692" i="1"/>
  <c r="Q693" i="1"/>
  <c r="R693" i="1"/>
  <c r="S693" i="1"/>
  <c r="T693" i="1"/>
  <c r="U693" i="1"/>
  <c r="V693" i="1"/>
  <c r="W693" i="1"/>
  <c r="X693" i="1"/>
  <c r="Y693" i="1"/>
  <c r="Q694" i="1"/>
  <c r="R694" i="1"/>
  <c r="S694" i="1"/>
  <c r="T694" i="1"/>
  <c r="U694" i="1"/>
  <c r="V694" i="1"/>
  <c r="W694" i="1"/>
  <c r="X694" i="1"/>
  <c r="Y694" i="1"/>
  <c r="Q695" i="1"/>
  <c r="R695" i="1"/>
  <c r="S695" i="1"/>
  <c r="T695" i="1"/>
  <c r="U695" i="1"/>
  <c r="V695" i="1"/>
  <c r="W695" i="1"/>
  <c r="X695" i="1"/>
  <c r="Y695" i="1"/>
  <c r="Q696" i="1"/>
  <c r="R696" i="1"/>
  <c r="S696" i="1"/>
  <c r="T696" i="1"/>
  <c r="U696" i="1"/>
  <c r="V696" i="1"/>
  <c r="W696" i="1"/>
  <c r="X696" i="1"/>
  <c r="Y696" i="1"/>
  <c r="Q697" i="1"/>
  <c r="R697" i="1"/>
  <c r="S697" i="1"/>
  <c r="T697" i="1"/>
  <c r="U697" i="1"/>
  <c r="V697" i="1"/>
  <c r="W697" i="1"/>
  <c r="X697" i="1"/>
  <c r="Y697" i="1"/>
  <c r="Q698" i="1"/>
  <c r="R698" i="1"/>
  <c r="S698" i="1"/>
  <c r="T698" i="1"/>
  <c r="U698" i="1"/>
  <c r="V698" i="1"/>
  <c r="W698" i="1"/>
  <c r="X698" i="1"/>
  <c r="Y698" i="1"/>
  <c r="Q699" i="1"/>
  <c r="R699" i="1"/>
  <c r="S699" i="1"/>
  <c r="T699" i="1"/>
  <c r="U699" i="1"/>
  <c r="V699" i="1"/>
  <c r="W699" i="1"/>
  <c r="X699" i="1"/>
  <c r="Y699" i="1"/>
  <c r="Q700" i="1"/>
  <c r="R700" i="1"/>
  <c r="S700" i="1"/>
  <c r="T700" i="1"/>
  <c r="U700" i="1"/>
  <c r="V700" i="1"/>
  <c r="W700" i="1"/>
  <c r="X700" i="1"/>
  <c r="Y700" i="1"/>
  <c r="Q701" i="1"/>
  <c r="R701" i="1"/>
  <c r="S701" i="1"/>
  <c r="T701" i="1"/>
  <c r="U701" i="1"/>
  <c r="V701" i="1"/>
  <c r="W701" i="1"/>
  <c r="X701" i="1"/>
  <c r="Y701" i="1"/>
  <c r="Q702" i="1"/>
  <c r="R702" i="1"/>
  <c r="S702" i="1"/>
  <c r="T702" i="1"/>
  <c r="U702" i="1"/>
  <c r="V702" i="1"/>
  <c r="W702" i="1"/>
  <c r="X702" i="1"/>
  <c r="Y702" i="1"/>
  <c r="Q703" i="1"/>
  <c r="R703" i="1"/>
  <c r="S703" i="1"/>
  <c r="T703" i="1"/>
  <c r="U703" i="1"/>
  <c r="V703" i="1"/>
  <c r="W703" i="1"/>
  <c r="X703" i="1"/>
  <c r="Y703" i="1"/>
  <c r="Q704" i="1"/>
  <c r="R704" i="1"/>
  <c r="S704" i="1"/>
  <c r="T704" i="1"/>
  <c r="U704" i="1"/>
  <c r="V704" i="1"/>
  <c r="W704" i="1"/>
  <c r="X704" i="1"/>
  <c r="Y704" i="1"/>
  <c r="Q705" i="1"/>
  <c r="R705" i="1"/>
  <c r="S705" i="1"/>
  <c r="T705" i="1"/>
  <c r="U705" i="1"/>
  <c r="V705" i="1"/>
  <c r="W705" i="1"/>
  <c r="X705" i="1"/>
  <c r="Y705" i="1"/>
  <c r="Q706" i="1"/>
  <c r="R706" i="1"/>
  <c r="S706" i="1"/>
  <c r="T706" i="1"/>
  <c r="U706" i="1"/>
  <c r="V706" i="1"/>
  <c r="W706" i="1"/>
  <c r="X706" i="1"/>
  <c r="Y706" i="1"/>
  <c r="Q707" i="1"/>
  <c r="R707" i="1"/>
  <c r="S707" i="1"/>
  <c r="T707" i="1"/>
  <c r="U707" i="1"/>
  <c r="V707" i="1"/>
  <c r="W707" i="1"/>
  <c r="X707" i="1"/>
  <c r="Y707" i="1"/>
  <c r="Q708" i="1"/>
  <c r="R708" i="1"/>
  <c r="S708" i="1"/>
  <c r="T708" i="1"/>
  <c r="U708" i="1"/>
  <c r="V708" i="1"/>
  <c r="W708" i="1"/>
  <c r="X708" i="1"/>
  <c r="Y708" i="1"/>
  <c r="Q709" i="1"/>
  <c r="R709" i="1"/>
  <c r="S709" i="1"/>
  <c r="T709" i="1"/>
  <c r="U709" i="1"/>
  <c r="V709" i="1"/>
  <c r="W709" i="1"/>
  <c r="X709" i="1"/>
  <c r="Y709" i="1"/>
  <c r="Q710" i="1"/>
  <c r="R710" i="1"/>
  <c r="S710" i="1"/>
  <c r="T710" i="1"/>
  <c r="U710" i="1"/>
  <c r="V710" i="1"/>
  <c r="W710" i="1"/>
  <c r="X710" i="1"/>
  <c r="Y710" i="1"/>
  <c r="Q711" i="1"/>
  <c r="R711" i="1"/>
  <c r="S711" i="1"/>
  <c r="T711" i="1"/>
  <c r="U711" i="1"/>
  <c r="V711" i="1"/>
  <c r="W711" i="1"/>
  <c r="X711" i="1"/>
  <c r="Y711" i="1"/>
  <c r="Q712" i="1"/>
  <c r="R712" i="1"/>
  <c r="S712" i="1"/>
  <c r="T712" i="1"/>
  <c r="U712" i="1"/>
  <c r="V712" i="1"/>
  <c r="W712" i="1"/>
  <c r="X712" i="1"/>
  <c r="Y712" i="1"/>
  <c r="Q713" i="1"/>
  <c r="R713" i="1"/>
  <c r="S713" i="1"/>
  <c r="T713" i="1"/>
  <c r="U713" i="1"/>
  <c r="V713" i="1"/>
  <c r="W713" i="1"/>
  <c r="X713" i="1"/>
  <c r="Y713" i="1"/>
  <c r="Q714" i="1"/>
  <c r="R714" i="1"/>
  <c r="S714" i="1"/>
  <c r="T714" i="1"/>
  <c r="U714" i="1"/>
  <c r="V714" i="1"/>
  <c r="W714" i="1"/>
  <c r="X714" i="1"/>
  <c r="Y714" i="1"/>
  <c r="Q715" i="1"/>
  <c r="R715" i="1"/>
  <c r="S715" i="1"/>
  <c r="T715" i="1"/>
  <c r="U715" i="1"/>
  <c r="V715" i="1"/>
  <c r="W715" i="1"/>
  <c r="X715" i="1"/>
  <c r="Y715" i="1"/>
  <c r="Q716" i="1"/>
  <c r="R716" i="1"/>
  <c r="S716" i="1"/>
  <c r="T716" i="1"/>
  <c r="U716" i="1"/>
  <c r="V716" i="1"/>
  <c r="W716" i="1"/>
  <c r="X716" i="1"/>
  <c r="Y716" i="1"/>
  <c r="Q717" i="1"/>
  <c r="R717" i="1"/>
  <c r="S717" i="1"/>
  <c r="T717" i="1"/>
  <c r="U717" i="1"/>
  <c r="V717" i="1"/>
  <c r="W717" i="1"/>
  <c r="X717" i="1"/>
  <c r="Y717" i="1"/>
  <c r="Q718" i="1"/>
  <c r="R718" i="1"/>
  <c r="S718" i="1"/>
  <c r="T718" i="1"/>
  <c r="U718" i="1"/>
  <c r="V718" i="1"/>
  <c r="W718" i="1"/>
  <c r="X718" i="1"/>
  <c r="Y718" i="1"/>
  <c r="Q719" i="1"/>
  <c r="R719" i="1"/>
  <c r="S719" i="1"/>
  <c r="T719" i="1"/>
  <c r="U719" i="1"/>
  <c r="V719" i="1"/>
  <c r="W719" i="1"/>
  <c r="X719" i="1"/>
  <c r="Y719" i="1"/>
  <c r="Q720" i="1"/>
  <c r="R720" i="1"/>
  <c r="S720" i="1"/>
  <c r="T720" i="1"/>
  <c r="U720" i="1"/>
  <c r="V720" i="1"/>
  <c r="W720" i="1"/>
  <c r="X720" i="1"/>
  <c r="Y720" i="1"/>
  <c r="Q721" i="1"/>
  <c r="R721" i="1"/>
  <c r="S721" i="1"/>
  <c r="T721" i="1"/>
  <c r="U721" i="1"/>
  <c r="V721" i="1"/>
  <c r="W721" i="1"/>
  <c r="X721" i="1"/>
  <c r="Y721" i="1"/>
  <c r="Q722" i="1"/>
  <c r="R722" i="1"/>
  <c r="S722" i="1"/>
  <c r="T722" i="1"/>
  <c r="U722" i="1"/>
  <c r="V722" i="1"/>
  <c r="W722" i="1"/>
  <c r="X722" i="1"/>
  <c r="Y722" i="1"/>
  <c r="Q723" i="1"/>
  <c r="R723" i="1"/>
  <c r="S723" i="1"/>
  <c r="T723" i="1"/>
  <c r="U723" i="1"/>
  <c r="V723" i="1"/>
  <c r="W723" i="1"/>
  <c r="X723" i="1"/>
  <c r="Y723" i="1"/>
  <c r="Q724" i="1"/>
  <c r="R724" i="1"/>
  <c r="S724" i="1"/>
  <c r="T724" i="1"/>
  <c r="U724" i="1"/>
  <c r="V724" i="1"/>
  <c r="W724" i="1"/>
  <c r="X724" i="1"/>
  <c r="Y724" i="1"/>
  <c r="Q725" i="1"/>
  <c r="R725" i="1"/>
  <c r="S725" i="1"/>
  <c r="T725" i="1"/>
  <c r="U725" i="1"/>
  <c r="V725" i="1"/>
  <c r="W725" i="1"/>
  <c r="X725" i="1"/>
  <c r="Y725" i="1"/>
  <c r="Q726" i="1"/>
  <c r="R726" i="1"/>
  <c r="S726" i="1"/>
  <c r="T726" i="1"/>
  <c r="U726" i="1"/>
  <c r="V726" i="1"/>
  <c r="W726" i="1"/>
  <c r="X726" i="1"/>
  <c r="Y726" i="1"/>
  <c r="Q727" i="1"/>
  <c r="R727" i="1"/>
  <c r="S727" i="1"/>
  <c r="T727" i="1"/>
  <c r="U727" i="1"/>
  <c r="V727" i="1"/>
  <c r="W727" i="1"/>
  <c r="X727" i="1"/>
  <c r="Y727" i="1"/>
  <c r="Q728" i="1"/>
  <c r="R728" i="1"/>
  <c r="S728" i="1"/>
  <c r="T728" i="1"/>
  <c r="U728" i="1"/>
  <c r="V728" i="1"/>
  <c r="W728" i="1"/>
  <c r="X728" i="1"/>
  <c r="Y728" i="1"/>
  <c r="Q729" i="1"/>
  <c r="R729" i="1"/>
  <c r="S729" i="1"/>
  <c r="T729" i="1"/>
  <c r="U729" i="1"/>
  <c r="V729" i="1"/>
  <c r="W729" i="1"/>
  <c r="X729" i="1"/>
  <c r="Y729" i="1"/>
  <c r="Q730" i="1"/>
  <c r="R730" i="1"/>
  <c r="S730" i="1"/>
  <c r="T730" i="1"/>
  <c r="U730" i="1"/>
  <c r="V730" i="1"/>
  <c r="W730" i="1"/>
  <c r="X730" i="1"/>
  <c r="Y730" i="1"/>
  <c r="Q731" i="1"/>
  <c r="R731" i="1"/>
  <c r="S731" i="1"/>
  <c r="T731" i="1"/>
  <c r="U731" i="1"/>
  <c r="V731" i="1"/>
  <c r="W731" i="1"/>
  <c r="X731" i="1"/>
  <c r="Y731" i="1"/>
  <c r="Q732" i="1"/>
  <c r="R732" i="1"/>
  <c r="S732" i="1"/>
  <c r="T732" i="1"/>
  <c r="U732" i="1"/>
  <c r="V732" i="1"/>
  <c r="W732" i="1"/>
  <c r="X732" i="1"/>
  <c r="Y732" i="1"/>
  <c r="Q733" i="1"/>
  <c r="R733" i="1"/>
  <c r="S733" i="1"/>
  <c r="T733" i="1"/>
  <c r="U733" i="1"/>
  <c r="V733" i="1"/>
  <c r="W733" i="1"/>
  <c r="X733" i="1"/>
  <c r="Y733" i="1"/>
  <c r="Q734" i="1"/>
  <c r="R734" i="1"/>
  <c r="S734" i="1"/>
  <c r="T734" i="1"/>
  <c r="U734" i="1"/>
  <c r="V734" i="1"/>
  <c r="W734" i="1"/>
  <c r="X734" i="1"/>
  <c r="Y734" i="1"/>
  <c r="Q735" i="1"/>
  <c r="R735" i="1"/>
  <c r="S735" i="1"/>
  <c r="T735" i="1"/>
  <c r="U735" i="1"/>
  <c r="V735" i="1"/>
  <c r="W735" i="1"/>
  <c r="X735" i="1"/>
  <c r="Y735" i="1"/>
  <c r="Q736" i="1"/>
  <c r="R736" i="1"/>
  <c r="S736" i="1"/>
  <c r="T736" i="1"/>
  <c r="U736" i="1"/>
  <c r="V736" i="1"/>
  <c r="W736" i="1"/>
  <c r="X736" i="1"/>
  <c r="Y736" i="1"/>
  <c r="Q737" i="1"/>
  <c r="R737" i="1"/>
  <c r="S737" i="1"/>
  <c r="T737" i="1"/>
  <c r="U737" i="1"/>
  <c r="V737" i="1"/>
  <c r="W737" i="1"/>
  <c r="X737" i="1"/>
  <c r="Y737" i="1"/>
  <c r="Q738" i="1"/>
  <c r="R738" i="1"/>
  <c r="S738" i="1"/>
  <c r="T738" i="1"/>
  <c r="U738" i="1"/>
  <c r="V738" i="1"/>
  <c r="W738" i="1"/>
  <c r="X738" i="1"/>
  <c r="Y738" i="1"/>
  <c r="Q739" i="1"/>
  <c r="R739" i="1"/>
  <c r="S739" i="1"/>
  <c r="T739" i="1"/>
  <c r="U739" i="1"/>
  <c r="V739" i="1"/>
  <c r="W739" i="1"/>
  <c r="X739" i="1"/>
  <c r="Y739" i="1"/>
  <c r="Q740" i="1"/>
  <c r="R740" i="1"/>
  <c r="S740" i="1"/>
  <c r="T740" i="1"/>
  <c r="U740" i="1"/>
  <c r="V740" i="1"/>
  <c r="W740" i="1"/>
  <c r="X740" i="1"/>
  <c r="Y740" i="1"/>
  <c r="Q741" i="1"/>
  <c r="R741" i="1"/>
  <c r="S741" i="1"/>
  <c r="T741" i="1"/>
  <c r="U741" i="1"/>
  <c r="V741" i="1"/>
  <c r="W741" i="1"/>
  <c r="X741" i="1"/>
  <c r="Y741" i="1"/>
  <c r="Q742" i="1"/>
  <c r="R742" i="1"/>
  <c r="S742" i="1"/>
  <c r="T742" i="1"/>
  <c r="U742" i="1"/>
  <c r="V742" i="1"/>
  <c r="W742" i="1"/>
  <c r="X742" i="1"/>
  <c r="Y742" i="1"/>
  <c r="Q743" i="1"/>
  <c r="R743" i="1"/>
  <c r="S743" i="1"/>
  <c r="T743" i="1"/>
  <c r="U743" i="1"/>
  <c r="V743" i="1"/>
  <c r="W743" i="1"/>
  <c r="X743" i="1"/>
  <c r="Y743" i="1"/>
  <c r="Q744" i="1"/>
  <c r="R744" i="1"/>
  <c r="S744" i="1"/>
  <c r="T744" i="1"/>
  <c r="U744" i="1"/>
  <c r="V744" i="1"/>
  <c r="W744" i="1"/>
  <c r="X744" i="1"/>
  <c r="Y744" i="1"/>
  <c r="Q745" i="1"/>
  <c r="R745" i="1"/>
  <c r="S745" i="1"/>
  <c r="T745" i="1"/>
  <c r="U745" i="1"/>
  <c r="V745" i="1"/>
  <c r="W745" i="1"/>
  <c r="X745" i="1"/>
  <c r="Y745" i="1"/>
  <c r="Q746" i="1"/>
  <c r="R746" i="1"/>
  <c r="S746" i="1"/>
  <c r="T746" i="1"/>
  <c r="U746" i="1"/>
  <c r="V746" i="1"/>
  <c r="W746" i="1"/>
  <c r="X746" i="1"/>
  <c r="Y746" i="1"/>
  <c r="Q747" i="1"/>
  <c r="R747" i="1"/>
  <c r="S747" i="1"/>
  <c r="T747" i="1"/>
  <c r="U747" i="1"/>
  <c r="V747" i="1"/>
  <c r="W747" i="1"/>
  <c r="X747" i="1"/>
  <c r="Y747" i="1"/>
  <c r="Q748" i="1"/>
  <c r="R748" i="1"/>
  <c r="S748" i="1"/>
  <c r="T748" i="1"/>
  <c r="U748" i="1"/>
  <c r="V748" i="1"/>
  <c r="W748" i="1"/>
  <c r="X748" i="1"/>
  <c r="Y748" i="1"/>
  <c r="Q749" i="1"/>
  <c r="R749" i="1"/>
  <c r="S749" i="1"/>
  <c r="T749" i="1"/>
  <c r="U749" i="1"/>
  <c r="V749" i="1"/>
  <c r="W749" i="1"/>
  <c r="X749" i="1"/>
  <c r="Y749" i="1"/>
  <c r="Q750" i="1"/>
  <c r="R750" i="1"/>
  <c r="S750" i="1"/>
  <c r="T750" i="1"/>
  <c r="U750" i="1"/>
  <c r="V750" i="1"/>
  <c r="W750" i="1"/>
  <c r="X750" i="1"/>
  <c r="Y750" i="1"/>
  <c r="Q751" i="1"/>
  <c r="R751" i="1"/>
  <c r="S751" i="1"/>
  <c r="T751" i="1"/>
  <c r="U751" i="1"/>
  <c r="V751" i="1"/>
  <c r="W751" i="1"/>
  <c r="X751" i="1"/>
  <c r="Y751" i="1"/>
  <c r="Q752" i="1"/>
  <c r="R752" i="1"/>
  <c r="S752" i="1"/>
  <c r="T752" i="1"/>
  <c r="U752" i="1"/>
  <c r="V752" i="1"/>
  <c r="W752" i="1"/>
  <c r="X752" i="1"/>
  <c r="Y752" i="1"/>
  <c r="Q753" i="1"/>
  <c r="R753" i="1"/>
  <c r="S753" i="1"/>
  <c r="T753" i="1"/>
  <c r="U753" i="1"/>
  <c r="V753" i="1"/>
  <c r="W753" i="1"/>
  <c r="X753" i="1"/>
  <c r="Y753" i="1"/>
  <c r="Q754" i="1"/>
  <c r="R754" i="1"/>
  <c r="S754" i="1"/>
  <c r="T754" i="1"/>
  <c r="U754" i="1"/>
  <c r="V754" i="1"/>
  <c r="W754" i="1"/>
  <c r="X754" i="1"/>
  <c r="Y754" i="1"/>
  <c r="Q755" i="1"/>
  <c r="R755" i="1"/>
  <c r="S755" i="1"/>
  <c r="T755" i="1"/>
  <c r="U755" i="1"/>
  <c r="V755" i="1"/>
  <c r="W755" i="1"/>
  <c r="X755" i="1"/>
  <c r="Y755" i="1"/>
  <c r="Q756" i="1"/>
  <c r="R756" i="1"/>
  <c r="S756" i="1"/>
  <c r="T756" i="1"/>
  <c r="U756" i="1"/>
  <c r="V756" i="1"/>
  <c r="W756" i="1"/>
  <c r="X756" i="1"/>
  <c r="Y756" i="1"/>
  <c r="Q757" i="1"/>
  <c r="R757" i="1"/>
  <c r="S757" i="1"/>
  <c r="T757" i="1"/>
  <c r="U757" i="1"/>
  <c r="V757" i="1"/>
  <c r="W757" i="1"/>
  <c r="X757" i="1"/>
  <c r="Y757" i="1"/>
  <c r="Q758" i="1"/>
  <c r="R758" i="1"/>
  <c r="S758" i="1"/>
  <c r="T758" i="1"/>
  <c r="U758" i="1"/>
  <c r="V758" i="1"/>
  <c r="W758" i="1"/>
  <c r="X758" i="1"/>
  <c r="Y758" i="1"/>
  <c r="Q759" i="1"/>
  <c r="R759" i="1"/>
  <c r="S759" i="1"/>
  <c r="T759" i="1"/>
  <c r="U759" i="1"/>
  <c r="V759" i="1"/>
  <c r="W759" i="1"/>
  <c r="X759" i="1"/>
  <c r="Y759" i="1"/>
  <c r="Q760" i="1"/>
  <c r="R760" i="1"/>
  <c r="S760" i="1"/>
  <c r="T760" i="1"/>
  <c r="U760" i="1"/>
  <c r="V760" i="1"/>
  <c r="W760" i="1"/>
  <c r="X760" i="1"/>
  <c r="Y760" i="1"/>
  <c r="Q761" i="1"/>
  <c r="R761" i="1"/>
  <c r="S761" i="1"/>
  <c r="T761" i="1"/>
  <c r="U761" i="1"/>
  <c r="V761" i="1"/>
  <c r="W761" i="1"/>
  <c r="X761" i="1"/>
  <c r="Y761" i="1"/>
  <c r="Q762" i="1"/>
  <c r="R762" i="1"/>
  <c r="S762" i="1"/>
  <c r="T762" i="1"/>
  <c r="U762" i="1"/>
  <c r="V762" i="1"/>
  <c r="W762" i="1"/>
  <c r="X762" i="1"/>
  <c r="Y762" i="1"/>
  <c r="Q763" i="1"/>
  <c r="R763" i="1"/>
  <c r="S763" i="1"/>
  <c r="T763" i="1"/>
  <c r="U763" i="1"/>
  <c r="V763" i="1"/>
  <c r="W763" i="1"/>
  <c r="X763" i="1"/>
  <c r="Y763" i="1"/>
  <c r="Q764" i="1"/>
  <c r="R764" i="1"/>
  <c r="S764" i="1"/>
  <c r="T764" i="1"/>
  <c r="U764" i="1"/>
  <c r="V764" i="1"/>
  <c r="W764" i="1"/>
  <c r="X764" i="1"/>
  <c r="Y764" i="1"/>
  <c r="Q765" i="1"/>
  <c r="R765" i="1"/>
  <c r="S765" i="1"/>
  <c r="T765" i="1"/>
  <c r="U765" i="1"/>
  <c r="V765" i="1"/>
  <c r="W765" i="1"/>
  <c r="X765" i="1"/>
  <c r="Y765" i="1"/>
  <c r="Q766" i="1"/>
  <c r="R766" i="1"/>
  <c r="S766" i="1"/>
  <c r="T766" i="1"/>
  <c r="U766" i="1"/>
  <c r="V766" i="1"/>
  <c r="W766" i="1"/>
  <c r="X766" i="1"/>
  <c r="Y766" i="1"/>
  <c r="Q767" i="1"/>
  <c r="R767" i="1"/>
  <c r="S767" i="1"/>
  <c r="T767" i="1"/>
  <c r="U767" i="1"/>
  <c r="V767" i="1"/>
  <c r="W767" i="1"/>
  <c r="X767" i="1"/>
  <c r="Y767" i="1"/>
  <c r="Q768" i="1"/>
  <c r="R768" i="1"/>
  <c r="S768" i="1"/>
  <c r="T768" i="1"/>
  <c r="U768" i="1"/>
  <c r="V768" i="1"/>
  <c r="W768" i="1"/>
  <c r="X768" i="1"/>
  <c r="Y768" i="1"/>
  <c r="Q769" i="1"/>
  <c r="R769" i="1"/>
  <c r="S769" i="1"/>
  <c r="T769" i="1"/>
  <c r="U769" i="1"/>
  <c r="V769" i="1"/>
  <c r="W769" i="1"/>
  <c r="X769" i="1"/>
  <c r="Y769" i="1"/>
  <c r="Q770" i="1"/>
  <c r="R770" i="1"/>
  <c r="S770" i="1"/>
  <c r="T770" i="1"/>
  <c r="U770" i="1"/>
  <c r="V770" i="1"/>
  <c r="W770" i="1"/>
  <c r="X770" i="1"/>
  <c r="Y770" i="1"/>
  <c r="Q771" i="1"/>
  <c r="R771" i="1"/>
  <c r="S771" i="1"/>
  <c r="T771" i="1"/>
  <c r="U771" i="1"/>
  <c r="V771" i="1"/>
  <c r="W771" i="1"/>
  <c r="X771" i="1"/>
  <c r="Y771" i="1"/>
  <c r="Q772" i="1"/>
  <c r="R772" i="1"/>
  <c r="S772" i="1"/>
  <c r="T772" i="1"/>
  <c r="U772" i="1"/>
  <c r="V772" i="1"/>
  <c r="W772" i="1"/>
  <c r="X772" i="1"/>
  <c r="Y772" i="1"/>
  <c r="Q773" i="1"/>
  <c r="R773" i="1"/>
  <c r="S773" i="1"/>
  <c r="T773" i="1"/>
  <c r="U773" i="1"/>
  <c r="V773" i="1"/>
  <c r="W773" i="1"/>
  <c r="X773" i="1"/>
  <c r="Y773" i="1"/>
  <c r="Q774" i="1"/>
  <c r="R774" i="1"/>
  <c r="S774" i="1"/>
  <c r="T774" i="1"/>
  <c r="U774" i="1"/>
  <c r="V774" i="1"/>
  <c r="W774" i="1"/>
  <c r="X774" i="1"/>
  <c r="Y774" i="1"/>
  <c r="Q775" i="1"/>
  <c r="R775" i="1"/>
  <c r="S775" i="1"/>
  <c r="T775" i="1"/>
  <c r="U775" i="1"/>
  <c r="V775" i="1"/>
  <c r="W775" i="1"/>
  <c r="X775" i="1"/>
  <c r="Y775" i="1"/>
  <c r="Q776" i="1"/>
  <c r="R776" i="1"/>
  <c r="S776" i="1"/>
  <c r="T776" i="1"/>
  <c r="U776" i="1"/>
  <c r="V776" i="1"/>
  <c r="W776" i="1"/>
  <c r="X776" i="1"/>
  <c r="Y776" i="1"/>
  <c r="Q777" i="1"/>
  <c r="R777" i="1"/>
  <c r="S777" i="1"/>
  <c r="T777" i="1"/>
  <c r="U777" i="1"/>
  <c r="V777" i="1"/>
  <c r="W777" i="1"/>
  <c r="X777" i="1"/>
  <c r="Y777" i="1"/>
  <c r="Q778" i="1"/>
  <c r="R778" i="1"/>
  <c r="S778" i="1"/>
  <c r="T778" i="1"/>
  <c r="U778" i="1"/>
  <c r="V778" i="1"/>
  <c r="W778" i="1"/>
  <c r="X778" i="1"/>
  <c r="Y778" i="1"/>
  <c r="Q779" i="1"/>
  <c r="R779" i="1"/>
  <c r="S779" i="1"/>
  <c r="T779" i="1"/>
  <c r="U779" i="1"/>
  <c r="V779" i="1"/>
  <c r="W779" i="1"/>
  <c r="X779" i="1"/>
  <c r="Y779" i="1"/>
  <c r="Q780" i="1"/>
  <c r="R780" i="1"/>
  <c r="S780" i="1"/>
  <c r="T780" i="1"/>
  <c r="U780" i="1"/>
  <c r="V780" i="1"/>
  <c r="W780" i="1"/>
  <c r="X780" i="1"/>
  <c r="Y780" i="1"/>
  <c r="Q781" i="1"/>
  <c r="R781" i="1"/>
  <c r="S781" i="1"/>
  <c r="T781" i="1"/>
  <c r="U781" i="1"/>
  <c r="V781" i="1"/>
  <c r="W781" i="1"/>
  <c r="X781" i="1"/>
  <c r="Y781" i="1"/>
  <c r="Q782" i="1"/>
  <c r="R782" i="1"/>
  <c r="S782" i="1"/>
  <c r="T782" i="1"/>
  <c r="U782" i="1"/>
  <c r="V782" i="1"/>
  <c r="W782" i="1"/>
  <c r="X782" i="1"/>
  <c r="Y782" i="1"/>
  <c r="Q783" i="1"/>
  <c r="R783" i="1"/>
  <c r="S783" i="1"/>
  <c r="T783" i="1"/>
  <c r="U783" i="1"/>
  <c r="V783" i="1"/>
  <c r="W783" i="1"/>
  <c r="X783" i="1"/>
  <c r="Y783" i="1"/>
  <c r="Q784" i="1"/>
  <c r="R784" i="1"/>
  <c r="S784" i="1"/>
  <c r="T784" i="1"/>
  <c r="U784" i="1"/>
  <c r="V784" i="1"/>
  <c r="W784" i="1"/>
  <c r="X784" i="1"/>
  <c r="Y784" i="1"/>
  <c r="Q785" i="1"/>
  <c r="R785" i="1"/>
  <c r="S785" i="1"/>
  <c r="T785" i="1"/>
  <c r="U785" i="1"/>
  <c r="V785" i="1"/>
  <c r="W785" i="1"/>
  <c r="X785" i="1"/>
  <c r="Y785" i="1"/>
  <c r="Q786" i="1"/>
  <c r="R786" i="1"/>
  <c r="S786" i="1"/>
  <c r="T786" i="1"/>
  <c r="U786" i="1"/>
  <c r="V786" i="1"/>
  <c r="W786" i="1"/>
  <c r="X786" i="1"/>
  <c r="Y786" i="1"/>
  <c r="Q787" i="1"/>
  <c r="R787" i="1"/>
  <c r="S787" i="1"/>
  <c r="T787" i="1"/>
  <c r="U787" i="1"/>
  <c r="V787" i="1"/>
  <c r="W787" i="1"/>
  <c r="X787" i="1"/>
  <c r="Y787" i="1"/>
  <c r="Q788" i="1"/>
  <c r="R788" i="1"/>
  <c r="S788" i="1"/>
  <c r="T788" i="1"/>
  <c r="U788" i="1"/>
  <c r="V788" i="1"/>
  <c r="W788" i="1"/>
  <c r="X788" i="1"/>
  <c r="Y788" i="1"/>
  <c r="Q789" i="1"/>
  <c r="R789" i="1"/>
  <c r="S789" i="1"/>
  <c r="T789" i="1"/>
  <c r="U789" i="1"/>
  <c r="V789" i="1"/>
  <c r="W789" i="1"/>
  <c r="X789" i="1"/>
  <c r="Y789" i="1"/>
  <c r="Q790" i="1"/>
  <c r="R790" i="1"/>
  <c r="S790" i="1"/>
  <c r="T790" i="1"/>
  <c r="U790" i="1"/>
  <c r="V790" i="1"/>
  <c r="W790" i="1"/>
  <c r="X790" i="1"/>
  <c r="Y790" i="1"/>
  <c r="Q791" i="1"/>
  <c r="R791" i="1"/>
  <c r="S791" i="1"/>
  <c r="T791" i="1"/>
  <c r="U791" i="1"/>
  <c r="V791" i="1"/>
  <c r="W791" i="1"/>
  <c r="X791" i="1"/>
  <c r="Y791" i="1"/>
  <c r="Q792" i="1"/>
  <c r="R792" i="1"/>
  <c r="S792" i="1"/>
  <c r="T792" i="1"/>
  <c r="U792" i="1"/>
  <c r="V792" i="1"/>
  <c r="W792" i="1"/>
  <c r="X792" i="1"/>
  <c r="Y792" i="1"/>
  <c r="Q793" i="1"/>
  <c r="R793" i="1"/>
  <c r="S793" i="1"/>
  <c r="T793" i="1"/>
  <c r="U793" i="1"/>
  <c r="V793" i="1"/>
  <c r="W793" i="1"/>
  <c r="X793" i="1"/>
  <c r="Y793" i="1"/>
  <c r="Q794" i="1"/>
  <c r="R794" i="1"/>
  <c r="S794" i="1"/>
  <c r="T794" i="1"/>
  <c r="U794" i="1"/>
  <c r="V794" i="1"/>
  <c r="W794" i="1"/>
  <c r="X794" i="1"/>
  <c r="Y794" i="1"/>
  <c r="Q795" i="1"/>
  <c r="R795" i="1"/>
  <c r="S795" i="1"/>
  <c r="T795" i="1"/>
  <c r="U795" i="1"/>
  <c r="V795" i="1"/>
  <c r="W795" i="1"/>
  <c r="X795" i="1"/>
  <c r="Y795" i="1"/>
  <c r="Q796" i="1"/>
  <c r="R796" i="1"/>
  <c r="S796" i="1"/>
  <c r="T796" i="1"/>
  <c r="U796" i="1"/>
  <c r="V796" i="1"/>
  <c r="W796" i="1"/>
  <c r="X796" i="1"/>
  <c r="Y796" i="1"/>
  <c r="Q797" i="1"/>
  <c r="R797" i="1"/>
  <c r="S797" i="1"/>
  <c r="T797" i="1"/>
  <c r="U797" i="1"/>
  <c r="V797" i="1"/>
  <c r="W797" i="1"/>
  <c r="X797" i="1"/>
  <c r="Y797" i="1"/>
  <c r="Q798" i="1"/>
  <c r="R798" i="1"/>
  <c r="S798" i="1"/>
  <c r="T798" i="1"/>
  <c r="U798" i="1"/>
  <c r="V798" i="1"/>
  <c r="W798" i="1"/>
  <c r="X798" i="1"/>
  <c r="Y798" i="1"/>
  <c r="Q799" i="1"/>
  <c r="R799" i="1"/>
  <c r="S799" i="1"/>
  <c r="T799" i="1"/>
  <c r="U799" i="1"/>
  <c r="V799" i="1"/>
  <c r="W799" i="1"/>
  <c r="X799" i="1"/>
  <c r="Y799" i="1"/>
  <c r="Q800" i="1"/>
  <c r="R800" i="1"/>
  <c r="S800" i="1"/>
  <c r="T800" i="1"/>
  <c r="U800" i="1"/>
  <c r="V800" i="1"/>
  <c r="W800" i="1"/>
  <c r="X800" i="1"/>
  <c r="Y800" i="1"/>
  <c r="Q801" i="1"/>
  <c r="R801" i="1"/>
  <c r="S801" i="1"/>
  <c r="T801" i="1"/>
  <c r="U801" i="1"/>
  <c r="V801" i="1"/>
  <c r="W801" i="1"/>
  <c r="X801" i="1"/>
  <c r="Y801" i="1"/>
  <c r="Q802" i="1"/>
  <c r="R802" i="1"/>
  <c r="S802" i="1"/>
  <c r="T802" i="1"/>
  <c r="U802" i="1"/>
  <c r="V802" i="1"/>
  <c r="W802" i="1"/>
  <c r="X802" i="1"/>
  <c r="Y802" i="1"/>
  <c r="Q803" i="1"/>
  <c r="R803" i="1"/>
  <c r="S803" i="1"/>
  <c r="T803" i="1"/>
  <c r="U803" i="1"/>
  <c r="V803" i="1"/>
  <c r="W803" i="1"/>
  <c r="X803" i="1"/>
  <c r="Y803" i="1"/>
  <c r="Q804" i="1"/>
  <c r="R804" i="1"/>
  <c r="S804" i="1"/>
  <c r="T804" i="1"/>
  <c r="U804" i="1"/>
  <c r="V804" i="1"/>
  <c r="W804" i="1"/>
  <c r="X804" i="1"/>
  <c r="Y804" i="1"/>
  <c r="Q805" i="1"/>
  <c r="R805" i="1"/>
  <c r="S805" i="1"/>
  <c r="T805" i="1"/>
  <c r="U805" i="1"/>
  <c r="V805" i="1"/>
  <c r="W805" i="1"/>
  <c r="X805" i="1"/>
  <c r="Y805" i="1"/>
  <c r="Q806" i="1"/>
  <c r="R806" i="1"/>
  <c r="S806" i="1"/>
  <c r="T806" i="1"/>
  <c r="U806" i="1"/>
  <c r="V806" i="1"/>
  <c r="W806" i="1"/>
  <c r="X806" i="1"/>
  <c r="Y806" i="1"/>
  <c r="Q807" i="1"/>
  <c r="R807" i="1"/>
  <c r="S807" i="1"/>
  <c r="T807" i="1"/>
  <c r="U807" i="1"/>
  <c r="V807" i="1"/>
  <c r="W807" i="1"/>
  <c r="X807" i="1"/>
  <c r="Y807" i="1"/>
  <c r="Q808" i="1"/>
  <c r="R808" i="1"/>
  <c r="S808" i="1"/>
  <c r="T808" i="1"/>
  <c r="U808" i="1"/>
  <c r="V808" i="1"/>
  <c r="W808" i="1"/>
  <c r="X808" i="1"/>
  <c r="Y808" i="1"/>
  <c r="Q809" i="1"/>
  <c r="R809" i="1"/>
  <c r="S809" i="1"/>
  <c r="T809" i="1"/>
  <c r="U809" i="1"/>
  <c r="V809" i="1"/>
  <c r="W809" i="1"/>
  <c r="X809" i="1"/>
  <c r="Y809" i="1"/>
  <c r="Q810" i="1"/>
  <c r="R810" i="1"/>
  <c r="S810" i="1"/>
  <c r="T810" i="1"/>
  <c r="U810" i="1"/>
  <c r="V810" i="1"/>
  <c r="W810" i="1"/>
  <c r="X810" i="1"/>
  <c r="Y810" i="1"/>
  <c r="Q811" i="1"/>
  <c r="R811" i="1"/>
  <c r="S811" i="1"/>
  <c r="T811" i="1"/>
  <c r="U811" i="1"/>
  <c r="V811" i="1"/>
  <c r="W811" i="1"/>
  <c r="X811" i="1"/>
  <c r="Y811" i="1"/>
  <c r="Q812" i="1"/>
  <c r="R812" i="1"/>
  <c r="S812" i="1"/>
  <c r="T812" i="1"/>
  <c r="U812" i="1"/>
  <c r="V812" i="1"/>
  <c r="W812" i="1"/>
  <c r="X812" i="1"/>
  <c r="Y812" i="1"/>
  <c r="Q813" i="1"/>
  <c r="R813" i="1"/>
  <c r="S813" i="1"/>
  <c r="T813" i="1"/>
  <c r="U813" i="1"/>
  <c r="V813" i="1"/>
  <c r="W813" i="1"/>
  <c r="X813" i="1"/>
  <c r="Y813" i="1"/>
  <c r="Q814" i="1"/>
  <c r="R814" i="1"/>
  <c r="S814" i="1"/>
  <c r="T814" i="1"/>
  <c r="U814" i="1"/>
  <c r="V814" i="1"/>
  <c r="W814" i="1"/>
  <c r="X814" i="1"/>
  <c r="Y814" i="1"/>
  <c r="Q815" i="1"/>
  <c r="R815" i="1"/>
  <c r="S815" i="1"/>
  <c r="T815" i="1"/>
  <c r="U815" i="1"/>
  <c r="V815" i="1"/>
  <c r="W815" i="1"/>
  <c r="X815" i="1"/>
  <c r="Y815" i="1"/>
  <c r="Q816" i="1"/>
  <c r="R816" i="1"/>
  <c r="S816" i="1"/>
  <c r="T816" i="1"/>
  <c r="U816" i="1"/>
  <c r="V816" i="1"/>
  <c r="W816" i="1"/>
  <c r="X816" i="1"/>
  <c r="Y816" i="1"/>
  <c r="Q817" i="1"/>
  <c r="R817" i="1"/>
  <c r="S817" i="1"/>
  <c r="T817" i="1"/>
  <c r="U817" i="1"/>
  <c r="V817" i="1"/>
  <c r="W817" i="1"/>
  <c r="X817" i="1"/>
  <c r="Y817" i="1"/>
  <c r="Q818" i="1"/>
  <c r="R818" i="1"/>
  <c r="S818" i="1"/>
  <c r="T818" i="1"/>
  <c r="U818" i="1"/>
  <c r="V818" i="1"/>
  <c r="W818" i="1"/>
  <c r="X818" i="1"/>
  <c r="Y818" i="1"/>
  <c r="Q819" i="1"/>
  <c r="R819" i="1"/>
  <c r="S819" i="1"/>
  <c r="T819" i="1"/>
  <c r="U819" i="1"/>
  <c r="V819" i="1"/>
  <c r="W819" i="1"/>
  <c r="X819" i="1"/>
  <c r="Y819" i="1"/>
  <c r="Q820" i="1"/>
  <c r="R820" i="1"/>
  <c r="S820" i="1"/>
  <c r="T820" i="1"/>
  <c r="U820" i="1"/>
  <c r="V820" i="1"/>
  <c r="W820" i="1"/>
  <c r="X820" i="1"/>
  <c r="Y820" i="1"/>
  <c r="Q821" i="1"/>
  <c r="R821" i="1"/>
  <c r="S821" i="1"/>
  <c r="T821" i="1"/>
  <c r="U821" i="1"/>
  <c r="V821" i="1"/>
  <c r="W821" i="1"/>
  <c r="X821" i="1"/>
  <c r="Y821" i="1"/>
  <c r="Q822" i="1"/>
  <c r="R822" i="1"/>
  <c r="S822" i="1"/>
  <c r="T822" i="1"/>
  <c r="U822" i="1"/>
  <c r="V822" i="1"/>
  <c r="W822" i="1"/>
  <c r="X822" i="1"/>
  <c r="Y822" i="1"/>
  <c r="Q823" i="1"/>
  <c r="R823" i="1"/>
  <c r="S823" i="1"/>
  <c r="T823" i="1"/>
  <c r="U823" i="1"/>
  <c r="V823" i="1"/>
  <c r="W823" i="1"/>
  <c r="X823" i="1"/>
  <c r="Y823" i="1"/>
  <c r="Q824" i="1"/>
  <c r="R824" i="1"/>
  <c r="S824" i="1"/>
  <c r="T824" i="1"/>
  <c r="U824" i="1"/>
  <c r="V824" i="1"/>
  <c r="W824" i="1"/>
  <c r="X824" i="1"/>
  <c r="Y824" i="1"/>
  <c r="Q825" i="1"/>
  <c r="R825" i="1"/>
  <c r="S825" i="1"/>
  <c r="T825" i="1"/>
  <c r="U825" i="1"/>
  <c r="V825" i="1"/>
  <c r="W825" i="1"/>
  <c r="X825" i="1"/>
  <c r="Y825" i="1"/>
  <c r="Q826" i="1"/>
  <c r="R826" i="1"/>
  <c r="S826" i="1"/>
  <c r="T826" i="1"/>
  <c r="U826" i="1"/>
  <c r="V826" i="1"/>
  <c r="W826" i="1"/>
  <c r="X826" i="1"/>
  <c r="Y826" i="1"/>
  <c r="Q827" i="1"/>
  <c r="R827" i="1"/>
  <c r="S827" i="1"/>
  <c r="T827" i="1"/>
  <c r="U827" i="1"/>
  <c r="V827" i="1"/>
  <c r="W827" i="1"/>
  <c r="X827" i="1"/>
  <c r="Y827" i="1"/>
  <c r="Q828" i="1"/>
  <c r="R828" i="1"/>
  <c r="S828" i="1"/>
  <c r="T828" i="1"/>
  <c r="U828" i="1"/>
  <c r="V828" i="1"/>
  <c r="W828" i="1"/>
  <c r="X828" i="1"/>
  <c r="Y828" i="1"/>
  <c r="Q829" i="1"/>
  <c r="R829" i="1"/>
  <c r="S829" i="1"/>
  <c r="T829" i="1"/>
  <c r="U829" i="1"/>
  <c r="V829" i="1"/>
  <c r="W829" i="1"/>
  <c r="X829" i="1"/>
  <c r="Y829" i="1"/>
  <c r="Q830" i="1"/>
  <c r="R830" i="1"/>
  <c r="S830" i="1"/>
  <c r="T830" i="1"/>
  <c r="U830" i="1"/>
  <c r="V830" i="1"/>
  <c r="W830" i="1"/>
  <c r="X830" i="1"/>
  <c r="Y830" i="1"/>
  <c r="Q831" i="1"/>
  <c r="R831" i="1"/>
  <c r="S831" i="1"/>
  <c r="T831" i="1"/>
  <c r="U831" i="1"/>
  <c r="V831" i="1"/>
  <c r="W831" i="1"/>
  <c r="X831" i="1"/>
  <c r="Y831" i="1"/>
  <c r="Q832" i="1"/>
  <c r="R832" i="1"/>
  <c r="S832" i="1"/>
  <c r="T832" i="1"/>
  <c r="U832" i="1"/>
  <c r="V832" i="1"/>
  <c r="W832" i="1"/>
  <c r="X832" i="1"/>
  <c r="Y832" i="1"/>
  <c r="Q833" i="1"/>
  <c r="R833" i="1"/>
  <c r="S833" i="1"/>
  <c r="T833" i="1"/>
  <c r="U833" i="1"/>
  <c r="V833" i="1"/>
  <c r="W833" i="1"/>
  <c r="X833" i="1"/>
  <c r="Y833" i="1"/>
  <c r="Q834" i="1"/>
  <c r="R834" i="1"/>
  <c r="S834" i="1"/>
  <c r="T834" i="1"/>
  <c r="U834" i="1"/>
  <c r="V834" i="1"/>
  <c r="W834" i="1"/>
  <c r="X834" i="1"/>
  <c r="Y834" i="1"/>
  <c r="Q835" i="1"/>
  <c r="R835" i="1"/>
  <c r="S835" i="1"/>
  <c r="T835" i="1"/>
  <c r="U835" i="1"/>
  <c r="V835" i="1"/>
  <c r="W835" i="1"/>
  <c r="X835" i="1"/>
  <c r="Y835" i="1"/>
  <c r="Q836" i="1"/>
  <c r="R836" i="1"/>
  <c r="S836" i="1"/>
  <c r="T836" i="1"/>
  <c r="U836" i="1"/>
  <c r="V836" i="1"/>
  <c r="W836" i="1"/>
  <c r="X836" i="1"/>
  <c r="Y836" i="1"/>
  <c r="Q837" i="1"/>
  <c r="R837" i="1"/>
  <c r="S837" i="1"/>
  <c r="T837" i="1"/>
  <c r="U837" i="1"/>
  <c r="V837" i="1"/>
  <c r="W837" i="1"/>
  <c r="X837" i="1"/>
  <c r="Y837" i="1"/>
  <c r="Q838" i="1"/>
  <c r="R838" i="1"/>
  <c r="S838" i="1"/>
  <c r="T838" i="1"/>
  <c r="U838" i="1"/>
  <c r="V838" i="1"/>
  <c r="W838" i="1"/>
  <c r="X838" i="1"/>
  <c r="Y838" i="1"/>
  <c r="Q839" i="1"/>
  <c r="R839" i="1"/>
  <c r="S839" i="1"/>
  <c r="T839" i="1"/>
  <c r="U839" i="1"/>
  <c r="V839" i="1"/>
  <c r="W839" i="1"/>
  <c r="X839" i="1"/>
  <c r="Y839" i="1"/>
  <c r="Q840" i="1"/>
  <c r="R840" i="1"/>
  <c r="S840" i="1"/>
  <c r="T840" i="1"/>
  <c r="U840" i="1"/>
  <c r="V840" i="1"/>
  <c r="W840" i="1"/>
  <c r="X840" i="1"/>
  <c r="Y840" i="1"/>
  <c r="Q841" i="1"/>
  <c r="R841" i="1"/>
  <c r="S841" i="1"/>
  <c r="T841" i="1"/>
  <c r="U841" i="1"/>
  <c r="V841" i="1"/>
  <c r="W841" i="1"/>
  <c r="X841" i="1"/>
  <c r="Y841" i="1"/>
  <c r="Q842" i="1"/>
  <c r="R842" i="1"/>
  <c r="S842" i="1"/>
  <c r="T842" i="1"/>
  <c r="U842" i="1"/>
  <c r="V842" i="1"/>
  <c r="W842" i="1"/>
  <c r="X842" i="1"/>
  <c r="Y842" i="1"/>
  <c r="Q843" i="1"/>
  <c r="R843" i="1"/>
  <c r="S843" i="1"/>
  <c r="T843" i="1"/>
  <c r="U843" i="1"/>
  <c r="V843" i="1"/>
  <c r="W843" i="1"/>
  <c r="X843" i="1"/>
  <c r="Y843" i="1"/>
  <c r="Q844" i="1"/>
  <c r="R844" i="1"/>
  <c r="S844" i="1"/>
  <c r="T844" i="1"/>
  <c r="U844" i="1"/>
  <c r="V844" i="1"/>
  <c r="W844" i="1"/>
  <c r="X844" i="1"/>
  <c r="Y844" i="1"/>
  <c r="Q845" i="1"/>
  <c r="R845" i="1"/>
  <c r="S845" i="1"/>
  <c r="T845" i="1"/>
  <c r="U845" i="1"/>
  <c r="V845" i="1"/>
  <c r="W845" i="1"/>
  <c r="X845" i="1"/>
  <c r="Y845" i="1"/>
  <c r="Q846" i="1"/>
  <c r="R846" i="1"/>
  <c r="S846" i="1"/>
  <c r="T846" i="1"/>
  <c r="U846" i="1"/>
  <c r="V846" i="1"/>
  <c r="W846" i="1"/>
  <c r="X846" i="1"/>
  <c r="Y846" i="1"/>
  <c r="Q847" i="1"/>
  <c r="R847" i="1"/>
  <c r="S847" i="1"/>
  <c r="T847" i="1"/>
  <c r="U847" i="1"/>
  <c r="V847" i="1"/>
  <c r="W847" i="1"/>
  <c r="X847" i="1"/>
  <c r="Y847" i="1"/>
  <c r="Q848" i="1"/>
  <c r="R848" i="1"/>
  <c r="S848" i="1"/>
  <c r="T848" i="1"/>
  <c r="U848" i="1"/>
  <c r="V848" i="1"/>
  <c r="W848" i="1"/>
  <c r="X848" i="1"/>
  <c r="Y848" i="1"/>
  <c r="Q849" i="1"/>
  <c r="R849" i="1"/>
  <c r="S849" i="1"/>
  <c r="T849" i="1"/>
  <c r="U849" i="1"/>
  <c r="V849" i="1"/>
  <c r="W849" i="1"/>
  <c r="X849" i="1"/>
  <c r="Y849" i="1"/>
  <c r="Q850" i="1"/>
  <c r="R850" i="1"/>
  <c r="S850" i="1"/>
  <c r="T850" i="1"/>
  <c r="U850" i="1"/>
  <c r="V850" i="1"/>
  <c r="W850" i="1"/>
  <c r="X850" i="1"/>
  <c r="Y850" i="1"/>
  <c r="Q851" i="1"/>
  <c r="R851" i="1"/>
  <c r="S851" i="1"/>
  <c r="T851" i="1"/>
  <c r="U851" i="1"/>
  <c r="V851" i="1"/>
  <c r="W851" i="1"/>
  <c r="X851" i="1"/>
  <c r="Y851" i="1"/>
  <c r="Q852" i="1"/>
  <c r="R852" i="1"/>
  <c r="S852" i="1"/>
  <c r="T852" i="1"/>
  <c r="U852" i="1"/>
  <c r="V852" i="1"/>
  <c r="W852" i="1"/>
  <c r="X852" i="1"/>
  <c r="Y852" i="1"/>
  <c r="Q853" i="1"/>
  <c r="R853" i="1"/>
  <c r="S853" i="1"/>
  <c r="T853" i="1"/>
  <c r="U853" i="1"/>
  <c r="V853" i="1"/>
  <c r="W853" i="1"/>
  <c r="X853" i="1"/>
  <c r="Y853" i="1"/>
  <c r="Q854" i="1"/>
  <c r="R854" i="1"/>
  <c r="S854" i="1"/>
  <c r="T854" i="1"/>
  <c r="U854" i="1"/>
  <c r="V854" i="1"/>
  <c r="W854" i="1"/>
  <c r="X854" i="1"/>
  <c r="Y854" i="1"/>
  <c r="Q855" i="1"/>
  <c r="R855" i="1"/>
  <c r="S855" i="1"/>
  <c r="T855" i="1"/>
  <c r="U855" i="1"/>
  <c r="V855" i="1"/>
  <c r="W855" i="1"/>
  <c r="X855" i="1"/>
  <c r="Y855" i="1"/>
  <c r="Q856" i="1"/>
  <c r="R856" i="1"/>
  <c r="S856" i="1"/>
  <c r="T856" i="1"/>
  <c r="U856" i="1"/>
  <c r="V856" i="1"/>
  <c r="W856" i="1"/>
  <c r="X856" i="1"/>
  <c r="Y856" i="1"/>
  <c r="Q857" i="1"/>
  <c r="R857" i="1"/>
  <c r="S857" i="1"/>
  <c r="T857" i="1"/>
  <c r="U857" i="1"/>
  <c r="V857" i="1"/>
  <c r="W857" i="1"/>
  <c r="X857" i="1"/>
  <c r="Y857" i="1"/>
  <c r="Q858" i="1"/>
  <c r="R858" i="1"/>
  <c r="S858" i="1"/>
  <c r="T858" i="1"/>
  <c r="U858" i="1"/>
  <c r="V858" i="1"/>
  <c r="W858" i="1"/>
  <c r="X858" i="1"/>
  <c r="Y858" i="1"/>
  <c r="Q859" i="1"/>
  <c r="R859" i="1"/>
  <c r="S859" i="1"/>
  <c r="T859" i="1"/>
  <c r="U859" i="1"/>
  <c r="V859" i="1"/>
  <c r="W859" i="1"/>
  <c r="X859" i="1"/>
  <c r="Y859" i="1"/>
  <c r="Q860" i="1"/>
  <c r="R860" i="1"/>
  <c r="S860" i="1"/>
  <c r="T860" i="1"/>
  <c r="U860" i="1"/>
  <c r="V860" i="1"/>
  <c r="W860" i="1"/>
  <c r="X860" i="1"/>
  <c r="Y860" i="1"/>
  <c r="Q861" i="1"/>
  <c r="R861" i="1"/>
  <c r="S861" i="1"/>
  <c r="T861" i="1"/>
  <c r="U861" i="1"/>
  <c r="V861" i="1"/>
  <c r="W861" i="1"/>
  <c r="X861" i="1"/>
  <c r="Y861" i="1"/>
  <c r="Q862" i="1"/>
  <c r="R862" i="1"/>
  <c r="S862" i="1"/>
  <c r="T862" i="1"/>
  <c r="U862" i="1"/>
  <c r="V862" i="1"/>
  <c r="W862" i="1"/>
  <c r="X862" i="1"/>
  <c r="Y862" i="1"/>
  <c r="Q863" i="1"/>
  <c r="R863" i="1"/>
  <c r="S863" i="1"/>
  <c r="T863" i="1"/>
  <c r="U863" i="1"/>
  <c r="V863" i="1"/>
  <c r="W863" i="1"/>
  <c r="X863" i="1"/>
  <c r="Y863" i="1"/>
  <c r="Q864" i="1"/>
  <c r="R864" i="1"/>
  <c r="S864" i="1"/>
  <c r="T864" i="1"/>
  <c r="U864" i="1"/>
  <c r="V864" i="1"/>
  <c r="W864" i="1"/>
  <c r="X864" i="1"/>
  <c r="Y864" i="1"/>
  <c r="Q865" i="1"/>
  <c r="R865" i="1"/>
  <c r="S865" i="1"/>
  <c r="T865" i="1"/>
  <c r="U865" i="1"/>
  <c r="V865" i="1"/>
  <c r="W865" i="1"/>
  <c r="X865" i="1"/>
  <c r="Y865" i="1"/>
  <c r="Q866" i="1"/>
  <c r="R866" i="1"/>
  <c r="S866" i="1"/>
  <c r="T866" i="1"/>
  <c r="U866" i="1"/>
  <c r="V866" i="1"/>
  <c r="W866" i="1"/>
  <c r="X866" i="1"/>
  <c r="Y866" i="1"/>
  <c r="Q867" i="1"/>
  <c r="R867" i="1"/>
  <c r="S867" i="1"/>
  <c r="T867" i="1"/>
  <c r="U867" i="1"/>
  <c r="V867" i="1"/>
  <c r="W867" i="1"/>
  <c r="X867" i="1"/>
  <c r="Y867" i="1"/>
  <c r="Q868" i="1"/>
  <c r="R868" i="1"/>
  <c r="S868" i="1"/>
  <c r="T868" i="1"/>
  <c r="U868" i="1"/>
  <c r="V868" i="1"/>
  <c r="W868" i="1"/>
  <c r="X868" i="1"/>
  <c r="Y868" i="1"/>
  <c r="Q869" i="1"/>
  <c r="R869" i="1"/>
  <c r="S869" i="1"/>
  <c r="T869" i="1"/>
  <c r="U869" i="1"/>
  <c r="V869" i="1"/>
  <c r="W869" i="1"/>
  <c r="X869" i="1"/>
  <c r="Y869" i="1"/>
  <c r="Q870" i="1"/>
  <c r="R870" i="1"/>
  <c r="S870" i="1"/>
  <c r="T870" i="1"/>
  <c r="U870" i="1"/>
  <c r="V870" i="1"/>
  <c r="W870" i="1"/>
  <c r="X870" i="1"/>
  <c r="Y870" i="1"/>
  <c r="Q871" i="1"/>
  <c r="R871" i="1"/>
  <c r="S871" i="1"/>
  <c r="T871" i="1"/>
  <c r="U871" i="1"/>
  <c r="V871" i="1"/>
  <c r="W871" i="1"/>
  <c r="X871" i="1"/>
  <c r="Y871" i="1"/>
  <c r="Q872" i="1"/>
  <c r="R872" i="1"/>
  <c r="S872" i="1"/>
  <c r="T872" i="1"/>
  <c r="U872" i="1"/>
  <c r="V872" i="1"/>
  <c r="W872" i="1"/>
  <c r="X872" i="1"/>
  <c r="Y872" i="1"/>
  <c r="Q873" i="1"/>
  <c r="R873" i="1"/>
  <c r="S873" i="1"/>
  <c r="T873" i="1"/>
  <c r="U873" i="1"/>
  <c r="V873" i="1"/>
  <c r="W873" i="1"/>
  <c r="X873" i="1"/>
  <c r="Y873" i="1"/>
  <c r="Q874" i="1"/>
  <c r="R874" i="1"/>
  <c r="S874" i="1"/>
  <c r="T874" i="1"/>
  <c r="U874" i="1"/>
  <c r="V874" i="1"/>
  <c r="W874" i="1"/>
  <c r="X874" i="1"/>
  <c r="Y874" i="1"/>
  <c r="Q875" i="1"/>
  <c r="R875" i="1"/>
  <c r="S875" i="1"/>
  <c r="T875" i="1"/>
  <c r="U875" i="1"/>
  <c r="V875" i="1"/>
  <c r="W875" i="1"/>
  <c r="X875" i="1"/>
  <c r="Y875" i="1"/>
  <c r="Q876" i="1"/>
  <c r="R876" i="1"/>
  <c r="S876" i="1"/>
  <c r="T876" i="1"/>
  <c r="U876" i="1"/>
  <c r="V876" i="1"/>
  <c r="W876" i="1"/>
  <c r="X876" i="1"/>
  <c r="Y876" i="1"/>
  <c r="Q877" i="1"/>
  <c r="R877" i="1"/>
  <c r="S877" i="1"/>
  <c r="T877" i="1"/>
  <c r="U877" i="1"/>
  <c r="V877" i="1"/>
  <c r="W877" i="1"/>
  <c r="X877" i="1"/>
  <c r="Y877" i="1"/>
  <c r="Q878" i="1"/>
  <c r="R878" i="1"/>
  <c r="S878" i="1"/>
  <c r="T878" i="1"/>
  <c r="U878" i="1"/>
  <c r="V878" i="1"/>
  <c r="W878" i="1"/>
  <c r="X878" i="1"/>
  <c r="Y878" i="1"/>
  <c r="Q879" i="1"/>
  <c r="R879" i="1"/>
  <c r="S879" i="1"/>
  <c r="T879" i="1"/>
  <c r="U879" i="1"/>
  <c r="V879" i="1"/>
  <c r="W879" i="1"/>
  <c r="X879" i="1"/>
  <c r="Y879" i="1"/>
  <c r="Q880" i="1"/>
  <c r="R880" i="1"/>
  <c r="S880" i="1"/>
  <c r="T880" i="1"/>
  <c r="U880" i="1"/>
  <c r="V880" i="1"/>
  <c r="W880" i="1"/>
  <c r="X880" i="1"/>
  <c r="Y880" i="1"/>
  <c r="Q881" i="1"/>
  <c r="R881" i="1"/>
  <c r="S881" i="1"/>
  <c r="T881" i="1"/>
  <c r="U881" i="1"/>
  <c r="V881" i="1"/>
  <c r="W881" i="1"/>
  <c r="X881" i="1"/>
  <c r="Y881" i="1"/>
  <c r="Q882" i="1"/>
  <c r="R882" i="1"/>
  <c r="S882" i="1"/>
  <c r="T882" i="1"/>
  <c r="U882" i="1"/>
  <c r="V882" i="1"/>
  <c r="W882" i="1"/>
  <c r="X882" i="1"/>
  <c r="Y882" i="1"/>
  <c r="Q883" i="1"/>
  <c r="R883" i="1"/>
  <c r="S883" i="1"/>
  <c r="T883" i="1"/>
  <c r="U883" i="1"/>
  <c r="V883" i="1"/>
  <c r="W883" i="1"/>
  <c r="X883" i="1"/>
  <c r="Y883" i="1"/>
  <c r="Q884" i="1"/>
  <c r="R884" i="1"/>
  <c r="S884" i="1"/>
  <c r="T884" i="1"/>
  <c r="U884" i="1"/>
  <c r="V884" i="1"/>
  <c r="W884" i="1"/>
  <c r="X884" i="1"/>
  <c r="Y884" i="1"/>
  <c r="Q885" i="1"/>
  <c r="R885" i="1"/>
  <c r="S885" i="1"/>
  <c r="T885" i="1"/>
  <c r="U885" i="1"/>
  <c r="V885" i="1"/>
  <c r="W885" i="1"/>
  <c r="X885" i="1"/>
  <c r="Y885" i="1"/>
  <c r="Q886" i="1"/>
  <c r="R886" i="1"/>
  <c r="S886" i="1"/>
  <c r="T886" i="1"/>
  <c r="U886" i="1"/>
  <c r="V886" i="1"/>
  <c r="W886" i="1"/>
  <c r="X886" i="1"/>
  <c r="Y886" i="1"/>
  <c r="Q887" i="1"/>
  <c r="R887" i="1"/>
  <c r="S887" i="1"/>
  <c r="T887" i="1"/>
  <c r="U887" i="1"/>
  <c r="V887" i="1"/>
  <c r="W887" i="1"/>
  <c r="X887" i="1"/>
  <c r="Y887" i="1"/>
  <c r="Q888" i="1"/>
  <c r="R888" i="1"/>
  <c r="S888" i="1"/>
  <c r="T888" i="1"/>
  <c r="U888" i="1"/>
  <c r="V888" i="1"/>
  <c r="W888" i="1"/>
  <c r="X888" i="1"/>
  <c r="Y888" i="1"/>
  <c r="Q889" i="1"/>
  <c r="R889" i="1"/>
  <c r="S889" i="1"/>
  <c r="T889" i="1"/>
  <c r="U889" i="1"/>
  <c r="V889" i="1"/>
  <c r="W889" i="1"/>
  <c r="X889" i="1"/>
  <c r="Y889" i="1"/>
  <c r="Q890" i="1"/>
  <c r="R890" i="1"/>
  <c r="S890" i="1"/>
  <c r="T890" i="1"/>
  <c r="U890" i="1"/>
  <c r="V890" i="1"/>
  <c r="W890" i="1"/>
  <c r="X890" i="1"/>
  <c r="Y890" i="1"/>
  <c r="Q891" i="1"/>
  <c r="R891" i="1"/>
  <c r="S891" i="1"/>
  <c r="T891" i="1"/>
  <c r="U891" i="1"/>
  <c r="V891" i="1"/>
  <c r="W891" i="1"/>
  <c r="X891" i="1"/>
  <c r="Y891" i="1"/>
  <c r="Q892" i="1"/>
  <c r="R892" i="1"/>
  <c r="S892" i="1"/>
  <c r="T892" i="1"/>
  <c r="U892" i="1"/>
  <c r="V892" i="1"/>
  <c r="W892" i="1"/>
  <c r="X892" i="1"/>
  <c r="Y892" i="1"/>
  <c r="Q893" i="1"/>
  <c r="R893" i="1"/>
  <c r="S893" i="1"/>
  <c r="T893" i="1"/>
  <c r="U893" i="1"/>
  <c r="V893" i="1"/>
  <c r="W893" i="1"/>
  <c r="X893" i="1"/>
  <c r="Y893" i="1"/>
  <c r="Q894" i="1"/>
  <c r="R894" i="1"/>
  <c r="S894" i="1"/>
  <c r="T894" i="1"/>
  <c r="U894" i="1"/>
  <c r="V894" i="1"/>
  <c r="W894" i="1"/>
  <c r="X894" i="1"/>
  <c r="Y894" i="1"/>
  <c r="Q895" i="1"/>
  <c r="R895" i="1"/>
  <c r="S895" i="1"/>
  <c r="T895" i="1"/>
  <c r="U895" i="1"/>
  <c r="V895" i="1"/>
  <c r="W895" i="1"/>
  <c r="X895" i="1"/>
  <c r="Y895" i="1"/>
  <c r="Q896" i="1"/>
  <c r="R896" i="1"/>
  <c r="S896" i="1"/>
  <c r="T896" i="1"/>
  <c r="U896" i="1"/>
  <c r="V896" i="1"/>
  <c r="W896" i="1"/>
  <c r="X896" i="1"/>
  <c r="Y896" i="1"/>
  <c r="Q897" i="1"/>
  <c r="R897" i="1"/>
  <c r="S897" i="1"/>
  <c r="T897" i="1"/>
  <c r="U897" i="1"/>
  <c r="V897" i="1"/>
  <c r="W897" i="1"/>
  <c r="X897" i="1"/>
  <c r="Y897" i="1"/>
  <c r="Q898" i="1"/>
  <c r="R898" i="1"/>
  <c r="S898" i="1"/>
  <c r="T898" i="1"/>
  <c r="U898" i="1"/>
  <c r="V898" i="1"/>
  <c r="W898" i="1"/>
  <c r="X898" i="1"/>
  <c r="Y898" i="1"/>
  <c r="Q899" i="1"/>
  <c r="R899" i="1"/>
  <c r="S899" i="1"/>
  <c r="T899" i="1"/>
  <c r="U899" i="1"/>
  <c r="V899" i="1"/>
  <c r="W899" i="1"/>
  <c r="X899" i="1"/>
  <c r="Y899" i="1"/>
  <c r="Q900" i="1"/>
  <c r="R900" i="1"/>
  <c r="S900" i="1"/>
  <c r="T900" i="1"/>
  <c r="U900" i="1"/>
  <c r="V900" i="1"/>
  <c r="W900" i="1"/>
  <c r="X900" i="1"/>
  <c r="Y900" i="1"/>
  <c r="Q901" i="1"/>
  <c r="R901" i="1"/>
  <c r="S901" i="1"/>
  <c r="T901" i="1"/>
  <c r="U901" i="1"/>
  <c r="V901" i="1"/>
  <c r="W901" i="1"/>
  <c r="X901" i="1"/>
  <c r="Y901" i="1"/>
  <c r="Q902" i="1"/>
  <c r="R902" i="1"/>
  <c r="S902" i="1"/>
  <c r="T902" i="1"/>
  <c r="U902" i="1"/>
  <c r="V902" i="1"/>
  <c r="W902" i="1"/>
  <c r="X902" i="1"/>
  <c r="Y902" i="1"/>
  <c r="Q903" i="1"/>
  <c r="R903" i="1"/>
  <c r="S903" i="1"/>
  <c r="T903" i="1"/>
  <c r="U903" i="1"/>
  <c r="V903" i="1"/>
  <c r="W903" i="1"/>
  <c r="X903" i="1"/>
  <c r="Y903" i="1"/>
  <c r="Q904" i="1"/>
  <c r="R904" i="1"/>
  <c r="S904" i="1"/>
  <c r="T904" i="1"/>
  <c r="U904" i="1"/>
  <c r="V904" i="1"/>
  <c r="W904" i="1"/>
  <c r="X904" i="1"/>
  <c r="Y904" i="1"/>
  <c r="Q905" i="1"/>
  <c r="R905" i="1"/>
  <c r="S905" i="1"/>
  <c r="T905" i="1"/>
  <c r="U905" i="1"/>
  <c r="V905" i="1"/>
  <c r="W905" i="1"/>
  <c r="X905" i="1"/>
  <c r="Y905" i="1"/>
  <c r="Q906" i="1"/>
  <c r="R906" i="1"/>
  <c r="S906" i="1"/>
  <c r="T906" i="1"/>
  <c r="U906" i="1"/>
  <c r="V906" i="1"/>
  <c r="W906" i="1"/>
  <c r="X906" i="1"/>
  <c r="Y906" i="1"/>
  <c r="Q907" i="1"/>
  <c r="R907" i="1"/>
  <c r="S907" i="1"/>
  <c r="T907" i="1"/>
  <c r="U907" i="1"/>
  <c r="V907" i="1"/>
  <c r="W907" i="1"/>
  <c r="X907" i="1"/>
  <c r="Y907" i="1"/>
  <c r="Q908" i="1"/>
  <c r="R908" i="1"/>
  <c r="S908" i="1"/>
  <c r="T908" i="1"/>
  <c r="U908" i="1"/>
  <c r="V908" i="1"/>
  <c r="W908" i="1"/>
  <c r="X908" i="1"/>
  <c r="Y908" i="1"/>
  <c r="Q909" i="1"/>
  <c r="R909" i="1"/>
  <c r="S909" i="1"/>
  <c r="T909" i="1"/>
  <c r="U909" i="1"/>
  <c r="V909" i="1"/>
  <c r="W909" i="1"/>
  <c r="X909" i="1"/>
  <c r="Y909" i="1"/>
  <c r="Q910" i="1"/>
  <c r="R910" i="1"/>
  <c r="S910" i="1"/>
  <c r="T910" i="1"/>
  <c r="U910" i="1"/>
  <c r="V910" i="1"/>
  <c r="W910" i="1"/>
  <c r="X910" i="1"/>
  <c r="Y910" i="1"/>
  <c r="Q911" i="1"/>
  <c r="R911" i="1"/>
  <c r="S911" i="1"/>
  <c r="T911" i="1"/>
  <c r="U911" i="1"/>
  <c r="V911" i="1"/>
  <c r="W911" i="1"/>
  <c r="X911" i="1"/>
  <c r="Y911" i="1"/>
  <c r="Q912" i="1"/>
  <c r="R912" i="1"/>
  <c r="S912" i="1"/>
  <c r="T912" i="1"/>
  <c r="U912" i="1"/>
  <c r="V912" i="1"/>
  <c r="W912" i="1"/>
  <c r="X912" i="1"/>
  <c r="Y912" i="1"/>
  <c r="Q913" i="1"/>
  <c r="R913" i="1"/>
  <c r="S913" i="1"/>
  <c r="T913" i="1"/>
  <c r="U913" i="1"/>
  <c r="V913" i="1"/>
  <c r="W913" i="1"/>
  <c r="X913" i="1"/>
  <c r="Y913" i="1"/>
  <c r="Q914" i="1"/>
  <c r="R914" i="1"/>
  <c r="S914" i="1"/>
  <c r="T914" i="1"/>
  <c r="U914" i="1"/>
  <c r="V914" i="1"/>
  <c r="W914" i="1"/>
  <c r="X914" i="1"/>
  <c r="Y914" i="1"/>
  <c r="Q915" i="1"/>
  <c r="R915" i="1"/>
  <c r="S915" i="1"/>
  <c r="T915" i="1"/>
  <c r="U915" i="1"/>
  <c r="V915" i="1"/>
  <c r="W915" i="1"/>
  <c r="X915" i="1"/>
  <c r="Y915" i="1"/>
  <c r="Q916" i="1"/>
  <c r="R916" i="1"/>
  <c r="S916" i="1"/>
  <c r="T916" i="1"/>
  <c r="U916" i="1"/>
  <c r="V916" i="1"/>
  <c r="W916" i="1"/>
  <c r="X916" i="1"/>
  <c r="Y916" i="1"/>
  <c r="Q917" i="1"/>
  <c r="R917" i="1"/>
  <c r="S917" i="1"/>
  <c r="T917" i="1"/>
  <c r="U917" i="1"/>
  <c r="V917" i="1"/>
  <c r="W917" i="1"/>
  <c r="X917" i="1"/>
  <c r="Y917" i="1"/>
  <c r="Q918" i="1"/>
  <c r="R918" i="1"/>
  <c r="S918" i="1"/>
  <c r="T918" i="1"/>
  <c r="U918" i="1"/>
  <c r="V918" i="1"/>
  <c r="W918" i="1"/>
  <c r="X918" i="1"/>
  <c r="Y918" i="1"/>
  <c r="Q919" i="1"/>
  <c r="R919" i="1"/>
  <c r="S919" i="1"/>
  <c r="T919" i="1"/>
  <c r="U919" i="1"/>
  <c r="V919" i="1"/>
  <c r="W919" i="1"/>
  <c r="X919" i="1"/>
  <c r="Y919" i="1"/>
  <c r="Q920" i="1"/>
  <c r="R920" i="1"/>
  <c r="S920" i="1"/>
  <c r="T920" i="1"/>
  <c r="U920" i="1"/>
  <c r="V920" i="1"/>
  <c r="W920" i="1"/>
  <c r="X920" i="1"/>
  <c r="Y920" i="1"/>
  <c r="Q921" i="1"/>
  <c r="R921" i="1"/>
  <c r="S921" i="1"/>
  <c r="T921" i="1"/>
  <c r="U921" i="1"/>
  <c r="V921" i="1"/>
  <c r="W921" i="1"/>
  <c r="X921" i="1"/>
  <c r="Y921" i="1"/>
  <c r="Q922" i="1"/>
  <c r="R922" i="1"/>
  <c r="S922" i="1"/>
  <c r="T922" i="1"/>
  <c r="U922" i="1"/>
  <c r="V922" i="1"/>
  <c r="W922" i="1"/>
  <c r="X922" i="1"/>
  <c r="Y922" i="1"/>
  <c r="Q923" i="1"/>
  <c r="R923" i="1"/>
  <c r="S923" i="1"/>
  <c r="T923" i="1"/>
  <c r="U923" i="1"/>
  <c r="V923" i="1"/>
  <c r="W923" i="1"/>
  <c r="X923" i="1"/>
  <c r="Y923" i="1"/>
  <c r="Q924" i="1"/>
  <c r="R924" i="1"/>
  <c r="S924" i="1"/>
  <c r="T924" i="1"/>
  <c r="U924" i="1"/>
  <c r="V924" i="1"/>
  <c r="W924" i="1"/>
  <c r="X924" i="1"/>
  <c r="Y924" i="1"/>
  <c r="Q925" i="1"/>
  <c r="R925" i="1"/>
  <c r="S925" i="1"/>
  <c r="T925" i="1"/>
  <c r="U925" i="1"/>
  <c r="V925" i="1"/>
  <c r="W925" i="1"/>
  <c r="X925" i="1"/>
  <c r="Y925" i="1"/>
  <c r="Q926" i="1"/>
  <c r="R926" i="1"/>
  <c r="S926" i="1"/>
  <c r="T926" i="1"/>
  <c r="U926" i="1"/>
  <c r="V926" i="1"/>
  <c r="W926" i="1"/>
  <c r="X926" i="1"/>
  <c r="Y926" i="1"/>
  <c r="Q927" i="1"/>
  <c r="R927" i="1"/>
  <c r="S927" i="1"/>
  <c r="T927" i="1"/>
  <c r="U927" i="1"/>
  <c r="V927" i="1"/>
  <c r="W927" i="1"/>
  <c r="X927" i="1"/>
  <c r="Y927" i="1"/>
  <c r="Q928" i="1"/>
  <c r="R928" i="1"/>
  <c r="S928" i="1"/>
  <c r="T928" i="1"/>
  <c r="U928" i="1"/>
  <c r="V928" i="1"/>
  <c r="W928" i="1"/>
  <c r="X928" i="1"/>
  <c r="Y928" i="1"/>
  <c r="Q929" i="1"/>
  <c r="R929" i="1"/>
  <c r="S929" i="1"/>
  <c r="T929" i="1"/>
  <c r="U929" i="1"/>
  <c r="V929" i="1"/>
  <c r="W929" i="1"/>
  <c r="X929" i="1"/>
  <c r="Y929" i="1"/>
  <c r="Q930" i="1"/>
  <c r="R930" i="1"/>
  <c r="S930" i="1"/>
  <c r="T930" i="1"/>
  <c r="U930" i="1"/>
  <c r="V930" i="1"/>
  <c r="W930" i="1"/>
  <c r="X930" i="1"/>
  <c r="Y930" i="1"/>
  <c r="Q931" i="1"/>
  <c r="R931" i="1"/>
  <c r="S931" i="1"/>
  <c r="T931" i="1"/>
  <c r="U931" i="1"/>
  <c r="V931" i="1"/>
  <c r="W931" i="1"/>
  <c r="X931" i="1"/>
  <c r="Y931" i="1"/>
  <c r="Q932" i="1"/>
  <c r="R932" i="1"/>
  <c r="S932" i="1"/>
  <c r="T932" i="1"/>
  <c r="U932" i="1"/>
  <c r="V932" i="1"/>
  <c r="W932" i="1"/>
  <c r="X932" i="1"/>
  <c r="Y932" i="1"/>
  <c r="Q933" i="1"/>
  <c r="R933" i="1"/>
  <c r="S933" i="1"/>
  <c r="T933" i="1"/>
  <c r="U933" i="1"/>
  <c r="V933" i="1"/>
  <c r="W933" i="1"/>
  <c r="X933" i="1"/>
  <c r="Y933" i="1"/>
  <c r="Q934" i="1"/>
  <c r="R934" i="1"/>
  <c r="S934" i="1"/>
  <c r="T934" i="1"/>
  <c r="U934" i="1"/>
  <c r="V934" i="1"/>
  <c r="W934" i="1"/>
  <c r="X934" i="1"/>
  <c r="Y934" i="1"/>
  <c r="Q935" i="1"/>
  <c r="R935" i="1"/>
  <c r="S935" i="1"/>
  <c r="T935" i="1"/>
  <c r="U935" i="1"/>
  <c r="V935" i="1"/>
  <c r="W935" i="1"/>
  <c r="X935" i="1"/>
  <c r="Y935" i="1"/>
  <c r="Q936" i="1"/>
  <c r="R936" i="1"/>
  <c r="S936" i="1"/>
  <c r="T936" i="1"/>
  <c r="U936" i="1"/>
  <c r="V936" i="1"/>
  <c r="W936" i="1"/>
  <c r="X936" i="1"/>
  <c r="Y936" i="1"/>
  <c r="Q937" i="1"/>
  <c r="R937" i="1"/>
  <c r="S937" i="1"/>
  <c r="T937" i="1"/>
  <c r="U937" i="1"/>
  <c r="V937" i="1"/>
  <c r="W937" i="1"/>
  <c r="X937" i="1"/>
  <c r="Y937" i="1"/>
  <c r="Q938" i="1"/>
  <c r="R938" i="1"/>
  <c r="S938" i="1"/>
  <c r="T938" i="1"/>
  <c r="U938" i="1"/>
  <c r="V938" i="1"/>
  <c r="W938" i="1"/>
  <c r="X938" i="1"/>
  <c r="Y938" i="1"/>
  <c r="Q939" i="1"/>
  <c r="R939" i="1"/>
  <c r="S939" i="1"/>
  <c r="T939" i="1"/>
  <c r="U939" i="1"/>
  <c r="V939" i="1"/>
  <c r="W939" i="1"/>
  <c r="X939" i="1"/>
  <c r="Y939" i="1"/>
  <c r="Q940" i="1"/>
  <c r="R940" i="1"/>
  <c r="S940" i="1"/>
  <c r="T940" i="1"/>
  <c r="U940" i="1"/>
  <c r="V940" i="1"/>
  <c r="W940" i="1"/>
  <c r="X940" i="1"/>
  <c r="Y940" i="1"/>
  <c r="Q941" i="1"/>
  <c r="R941" i="1"/>
  <c r="S941" i="1"/>
  <c r="T941" i="1"/>
  <c r="U941" i="1"/>
  <c r="V941" i="1"/>
  <c r="W941" i="1"/>
  <c r="X941" i="1"/>
  <c r="Y941" i="1"/>
  <c r="Q942" i="1"/>
  <c r="R942" i="1"/>
  <c r="S942" i="1"/>
  <c r="T942" i="1"/>
  <c r="U942" i="1"/>
  <c r="V942" i="1"/>
  <c r="W942" i="1"/>
  <c r="X942" i="1"/>
  <c r="Y942" i="1"/>
  <c r="Q943" i="1"/>
  <c r="R943" i="1"/>
  <c r="S943" i="1"/>
  <c r="T943" i="1"/>
  <c r="U943" i="1"/>
  <c r="V943" i="1"/>
  <c r="W943" i="1"/>
  <c r="X943" i="1"/>
  <c r="Y943" i="1"/>
  <c r="Q944" i="1"/>
  <c r="R944" i="1"/>
  <c r="S944" i="1"/>
  <c r="T944" i="1"/>
  <c r="U944" i="1"/>
  <c r="V944" i="1"/>
  <c r="W944" i="1"/>
  <c r="X944" i="1"/>
  <c r="Y944" i="1"/>
  <c r="Q945" i="1"/>
  <c r="R945" i="1"/>
  <c r="S945" i="1"/>
  <c r="T945" i="1"/>
  <c r="U945" i="1"/>
  <c r="V945" i="1"/>
  <c r="W945" i="1"/>
  <c r="X945" i="1"/>
  <c r="Y945" i="1"/>
  <c r="Q946" i="1"/>
  <c r="R946" i="1"/>
  <c r="S946" i="1"/>
  <c r="T946" i="1"/>
  <c r="U946" i="1"/>
  <c r="V946" i="1"/>
  <c r="W946" i="1"/>
  <c r="X946" i="1"/>
  <c r="Y946" i="1"/>
  <c r="Q947" i="1"/>
  <c r="R947" i="1"/>
  <c r="S947" i="1"/>
  <c r="T947" i="1"/>
  <c r="U947" i="1"/>
  <c r="V947" i="1"/>
  <c r="W947" i="1"/>
  <c r="X947" i="1"/>
  <c r="Y947" i="1"/>
  <c r="Q948" i="1"/>
  <c r="R948" i="1"/>
  <c r="S948" i="1"/>
  <c r="T948" i="1"/>
  <c r="U948" i="1"/>
  <c r="V948" i="1"/>
  <c r="W948" i="1"/>
  <c r="X948" i="1"/>
  <c r="Y948" i="1"/>
  <c r="Q949" i="1"/>
  <c r="R949" i="1"/>
  <c r="S949" i="1"/>
  <c r="T949" i="1"/>
  <c r="U949" i="1"/>
  <c r="V949" i="1"/>
  <c r="W949" i="1"/>
  <c r="X949" i="1"/>
  <c r="Y949" i="1"/>
  <c r="Q950" i="1"/>
  <c r="R950" i="1"/>
  <c r="S950" i="1"/>
  <c r="T950" i="1"/>
  <c r="U950" i="1"/>
  <c r="V950" i="1"/>
  <c r="W950" i="1"/>
  <c r="X950" i="1"/>
  <c r="Y950" i="1"/>
  <c r="Q951" i="1"/>
  <c r="R951" i="1"/>
  <c r="S951" i="1"/>
  <c r="T951" i="1"/>
  <c r="U951" i="1"/>
  <c r="V951" i="1"/>
  <c r="W951" i="1"/>
  <c r="X951" i="1"/>
  <c r="Y951" i="1"/>
  <c r="Q952" i="1"/>
  <c r="R952" i="1"/>
  <c r="S952" i="1"/>
  <c r="T952" i="1"/>
  <c r="U952" i="1"/>
  <c r="V952" i="1"/>
  <c r="W952" i="1"/>
  <c r="X952" i="1"/>
  <c r="Y952" i="1"/>
  <c r="Q953" i="1"/>
  <c r="R953" i="1"/>
  <c r="S953" i="1"/>
  <c r="T953" i="1"/>
  <c r="U953" i="1"/>
  <c r="V953" i="1"/>
  <c r="W953" i="1"/>
  <c r="X953" i="1"/>
  <c r="Y953" i="1"/>
  <c r="Q954" i="1"/>
  <c r="R954" i="1"/>
  <c r="S954" i="1"/>
  <c r="T954" i="1"/>
  <c r="U954" i="1"/>
  <c r="V954" i="1"/>
  <c r="W954" i="1"/>
  <c r="X954" i="1"/>
  <c r="Y954" i="1"/>
  <c r="Q955" i="1"/>
  <c r="R955" i="1"/>
  <c r="S955" i="1"/>
  <c r="T955" i="1"/>
  <c r="U955" i="1"/>
  <c r="V955" i="1"/>
  <c r="W955" i="1"/>
  <c r="X955" i="1"/>
  <c r="Y955" i="1"/>
  <c r="Q956" i="1"/>
  <c r="R956" i="1"/>
  <c r="S956" i="1"/>
  <c r="T956" i="1"/>
  <c r="U956" i="1"/>
  <c r="V956" i="1"/>
  <c r="W956" i="1"/>
  <c r="X956" i="1"/>
  <c r="Y956" i="1"/>
  <c r="Q957" i="1"/>
  <c r="R957" i="1"/>
  <c r="S957" i="1"/>
  <c r="T957" i="1"/>
  <c r="U957" i="1"/>
  <c r="V957" i="1"/>
  <c r="W957" i="1"/>
  <c r="X957" i="1"/>
  <c r="Y957" i="1"/>
  <c r="Q958" i="1"/>
  <c r="R958" i="1"/>
  <c r="S958" i="1"/>
  <c r="T958" i="1"/>
  <c r="U958" i="1"/>
  <c r="V958" i="1"/>
  <c r="W958" i="1"/>
  <c r="X958" i="1"/>
  <c r="Y958" i="1"/>
  <c r="Q959" i="1"/>
  <c r="R959" i="1"/>
  <c r="S959" i="1"/>
  <c r="T959" i="1"/>
  <c r="U959" i="1"/>
  <c r="V959" i="1"/>
  <c r="W959" i="1"/>
  <c r="X959" i="1"/>
  <c r="Y959" i="1"/>
  <c r="Q960" i="1"/>
  <c r="R960" i="1"/>
  <c r="S960" i="1"/>
  <c r="T960" i="1"/>
  <c r="U960" i="1"/>
  <c r="V960" i="1"/>
  <c r="W960" i="1"/>
  <c r="X960" i="1"/>
  <c r="Y960" i="1"/>
  <c r="Q961" i="1"/>
  <c r="R961" i="1"/>
  <c r="S961" i="1"/>
  <c r="T961" i="1"/>
  <c r="U961" i="1"/>
  <c r="V961" i="1"/>
  <c r="W961" i="1"/>
  <c r="X961" i="1"/>
  <c r="Y961" i="1"/>
  <c r="Q962" i="1"/>
  <c r="R962" i="1"/>
  <c r="S962" i="1"/>
  <c r="T962" i="1"/>
  <c r="U962" i="1"/>
  <c r="V962" i="1"/>
  <c r="W962" i="1"/>
  <c r="X962" i="1"/>
  <c r="Y962" i="1"/>
  <c r="Q963" i="1"/>
  <c r="R963" i="1"/>
  <c r="S963" i="1"/>
  <c r="T963" i="1"/>
  <c r="U963" i="1"/>
  <c r="V963" i="1"/>
  <c r="W963" i="1"/>
  <c r="X963" i="1"/>
  <c r="Y963" i="1"/>
  <c r="Q964" i="1"/>
  <c r="R964" i="1"/>
  <c r="S964" i="1"/>
  <c r="T964" i="1"/>
  <c r="U964" i="1"/>
  <c r="V964" i="1"/>
  <c r="W964" i="1"/>
  <c r="X964" i="1"/>
  <c r="Y964" i="1"/>
  <c r="Q965" i="1"/>
  <c r="R965" i="1"/>
  <c r="S965" i="1"/>
  <c r="T965" i="1"/>
  <c r="U965" i="1"/>
  <c r="V965" i="1"/>
  <c r="W965" i="1"/>
  <c r="X965" i="1"/>
  <c r="Y965" i="1"/>
  <c r="Q966" i="1"/>
  <c r="R966" i="1"/>
  <c r="S966" i="1"/>
  <c r="T966" i="1"/>
  <c r="U966" i="1"/>
  <c r="V966" i="1"/>
  <c r="W966" i="1"/>
  <c r="X966" i="1"/>
  <c r="Y966" i="1"/>
  <c r="Q967" i="1"/>
  <c r="R967" i="1"/>
  <c r="S967" i="1"/>
  <c r="T967" i="1"/>
  <c r="U967" i="1"/>
  <c r="V967" i="1"/>
  <c r="W967" i="1"/>
  <c r="X967" i="1"/>
  <c r="Y967" i="1"/>
  <c r="Q968" i="1"/>
  <c r="R968" i="1"/>
  <c r="S968" i="1"/>
  <c r="T968" i="1"/>
  <c r="U968" i="1"/>
  <c r="V968" i="1"/>
  <c r="W968" i="1"/>
  <c r="X968" i="1"/>
  <c r="Y968" i="1"/>
  <c r="Q969" i="1"/>
  <c r="R969" i="1"/>
  <c r="S969" i="1"/>
  <c r="T969" i="1"/>
  <c r="U969" i="1"/>
  <c r="V969" i="1"/>
  <c r="W969" i="1"/>
  <c r="X969" i="1"/>
  <c r="Y969" i="1"/>
  <c r="Q970" i="1"/>
  <c r="R970" i="1"/>
  <c r="S970" i="1"/>
  <c r="T970" i="1"/>
  <c r="U970" i="1"/>
  <c r="V970" i="1"/>
  <c r="W970" i="1"/>
  <c r="X970" i="1"/>
  <c r="Y970" i="1"/>
  <c r="Q971" i="1"/>
  <c r="R971" i="1"/>
  <c r="S971" i="1"/>
  <c r="T971" i="1"/>
  <c r="U971" i="1"/>
  <c r="V971" i="1"/>
  <c r="W971" i="1"/>
  <c r="X971" i="1"/>
  <c r="Y971" i="1"/>
  <c r="Q972" i="1"/>
  <c r="R972" i="1"/>
  <c r="S972" i="1"/>
  <c r="T972" i="1"/>
  <c r="U972" i="1"/>
  <c r="V972" i="1"/>
  <c r="W972" i="1"/>
  <c r="X972" i="1"/>
  <c r="Y972" i="1"/>
  <c r="Q973" i="1"/>
  <c r="R973" i="1"/>
  <c r="S973" i="1"/>
  <c r="T973" i="1"/>
  <c r="U973" i="1"/>
  <c r="V973" i="1"/>
  <c r="W973" i="1"/>
  <c r="X973" i="1"/>
  <c r="Y973" i="1"/>
  <c r="Q974" i="1"/>
  <c r="R974" i="1"/>
  <c r="S974" i="1"/>
  <c r="T974" i="1"/>
  <c r="U974" i="1"/>
  <c r="V974" i="1"/>
  <c r="W974" i="1"/>
  <c r="X974" i="1"/>
  <c r="Y974" i="1"/>
  <c r="Q975" i="1"/>
  <c r="R975" i="1"/>
  <c r="S975" i="1"/>
  <c r="T975" i="1"/>
  <c r="U975" i="1"/>
  <c r="V975" i="1"/>
  <c r="W975" i="1"/>
  <c r="X975" i="1"/>
  <c r="Y975" i="1"/>
  <c r="Q976" i="1"/>
  <c r="R976" i="1"/>
  <c r="S976" i="1"/>
  <c r="T976" i="1"/>
  <c r="U976" i="1"/>
  <c r="V976" i="1"/>
  <c r="W976" i="1"/>
  <c r="X976" i="1"/>
  <c r="Y976" i="1"/>
  <c r="Q977" i="1"/>
  <c r="R977" i="1"/>
  <c r="S977" i="1"/>
  <c r="T977" i="1"/>
  <c r="U977" i="1"/>
  <c r="V977" i="1"/>
  <c r="W977" i="1"/>
  <c r="X977" i="1"/>
  <c r="Y977" i="1"/>
  <c r="Q978" i="1"/>
  <c r="R978" i="1"/>
  <c r="S978" i="1"/>
  <c r="T978" i="1"/>
  <c r="U978" i="1"/>
  <c r="V978" i="1"/>
  <c r="W978" i="1"/>
  <c r="X978" i="1"/>
  <c r="Y978" i="1"/>
  <c r="Q979" i="1"/>
  <c r="R979" i="1"/>
  <c r="S979" i="1"/>
  <c r="T979" i="1"/>
  <c r="U979" i="1"/>
  <c r="V979" i="1"/>
  <c r="W979" i="1"/>
  <c r="X979" i="1"/>
  <c r="Y979" i="1"/>
  <c r="Q980" i="1"/>
  <c r="R980" i="1"/>
  <c r="S980" i="1"/>
  <c r="T980" i="1"/>
  <c r="U980" i="1"/>
  <c r="V980" i="1"/>
  <c r="W980" i="1"/>
  <c r="X980" i="1"/>
  <c r="Y980" i="1"/>
  <c r="Q981" i="1"/>
  <c r="R981" i="1"/>
  <c r="S981" i="1"/>
  <c r="T981" i="1"/>
  <c r="U981" i="1"/>
  <c r="V981" i="1"/>
  <c r="W981" i="1"/>
  <c r="X981" i="1"/>
  <c r="Y981" i="1"/>
  <c r="Q982" i="1"/>
  <c r="R982" i="1"/>
  <c r="S982" i="1"/>
  <c r="T982" i="1"/>
  <c r="U982" i="1"/>
  <c r="V982" i="1"/>
  <c r="W982" i="1"/>
  <c r="X982" i="1"/>
  <c r="Y982" i="1"/>
  <c r="Q983" i="1"/>
  <c r="R983" i="1"/>
  <c r="S983" i="1"/>
  <c r="T983" i="1"/>
  <c r="U983" i="1"/>
  <c r="V983" i="1"/>
  <c r="W983" i="1"/>
  <c r="X983" i="1"/>
  <c r="Y983" i="1"/>
  <c r="Q984" i="1"/>
  <c r="R984" i="1"/>
  <c r="S984" i="1"/>
  <c r="T984" i="1"/>
  <c r="U984" i="1"/>
  <c r="V984" i="1"/>
  <c r="W984" i="1"/>
  <c r="X984" i="1"/>
  <c r="Y984" i="1"/>
  <c r="Q985" i="1"/>
  <c r="R985" i="1"/>
  <c r="S985" i="1"/>
  <c r="T985" i="1"/>
  <c r="U985" i="1"/>
  <c r="V985" i="1"/>
  <c r="W985" i="1"/>
  <c r="X985" i="1"/>
  <c r="Y985" i="1"/>
  <c r="Q986" i="1"/>
  <c r="R986" i="1"/>
  <c r="S986" i="1"/>
  <c r="T986" i="1"/>
  <c r="U986" i="1"/>
  <c r="V986" i="1"/>
  <c r="W986" i="1"/>
  <c r="X986" i="1"/>
  <c r="Y986" i="1"/>
  <c r="Q987" i="1"/>
  <c r="R987" i="1"/>
  <c r="S987" i="1"/>
  <c r="T987" i="1"/>
  <c r="U987" i="1"/>
  <c r="V987" i="1"/>
  <c r="W987" i="1"/>
  <c r="X987" i="1"/>
  <c r="Y987" i="1"/>
  <c r="Q988" i="1"/>
  <c r="R988" i="1"/>
  <c r="S988" i="1"/>
  <c r="T988" i="1"/>
  <c r="U988" i="1"/>
  <c r="V988" i="1"/>
  <c r="W988" i="1"/>
  <c r="X988" i="1"/>
  <c r="Y988" i="1"/>
  <c r="Q989" i="1"/>
  <c r="R989" i="1"/>
  <c r="S989" i="1"/>
  <c r="T989" i="1"/>
  <c r="U989" i="1"/>
  <c r="V989" i="1"/>
  <c r="W989" i="1"/>
  <c r="X989" i="1"/>
  <c r="Y989" i="1"/>
  <c r="Q990" i="1"/>
  <c r="R990" i="1"/>
  <c r="S990" i="1"/>
  <c r="T990" i="1"/>
  <c r="U990" i="1"/>
  <c r="V990" i="1"/>
  <c r="W990" i="1"/>
  <c r="X990" i="1"/>
  <c r="Y990" i="1"/>
  <c r="Q991" i="1"/>
  <c r="R991" i="1"/>
  <c r="S991" i="1"/>
  <c r="T991" i="1"/>
  <c r="U991" i="1"/>
  <c r="V991" i="1"/>
  <c r="W991" i="1"/>
  <c r="X991" i="1"/>
  <c r="Y991" i="1"/>
  <c r="Q992" i="1"/>
  <c r="R992" i="1"/>
  <c r="S992" i="1"/>
  <c r="T992" i="1"/>
  <c r="U992" i="1"/>
  <c r="V992" i="1"/>
  <c r="W992" i="1"/>
  <c r="X992" i="1"/>
  <c r="Y992" i="1"/>
  <c r="Q993" i="1"/>
  <c r="R993" i="1"/>
  <c r="S993" i="1"/>
  <c r="T993" i="1"/>
  <c r="U993" i="1"/>
  <c r="V993" i="1"/>
  <c r="W993" i="1"/>
  <c r="X993" i="1"/>
  <c r="Y993" i="1"/>
  <c r="Q994" i="1"/>
  <c r="R994" i="1"/>
  <c r="S994" i="1"/>
  <c r="T994" i="1"/>
  <c r="U994" i="1"/>
  <c r="V994" i="1"/>
  <c r="W994" i="1"/>
  <c r="X994" i="1"/>
  <c r="Y994" i="1"/>
  <c r="Q995" i="1"/>
  <c r="R995" i="1"/>
  <c r="S995" i="1"/>
  <c r="T995" i="1"/>
  <c r="U995" i="1"/>
  <c r="V995" i="1"/>
  <c r="W995" i="1"/>
  <c r="X995" i="1"/>
  <c r="Y995" i="1"/>
  <c r="Q996" i="1"/>
  <c r="R996" i="1"/>
  <c r="S996" i="1"/>
  <c r="T996" i="1"/>
  <c r="U996" i="1"/>
  <c r="V996" i="1"/>
  <c r="W996" i="1"/>
  <c r="X996" i="1"/>
  <c r="Y996" i="1"/>
  <c r="Q997" i="1"/>
  <c r="R997" i="1"/>
  <c r="S997" i="1"/>
  <c r="T997" i="1"/>
  <c r="U997" i="1"/>
  <c r="V997" i="1"/>
  <c r="W997" i="1"/>
  <c r="X997" i="1"/>
  <c r="Y997" i="1"/>
  <c r="Q998" i="1"/>
  <c r="R998" i="1"/>
  <c r="S998" i="1"/>
  <c r="T998" i="1"/>
  <c r="U998" i="1"/>
  <c r="V998" i="1"/>
  <c r="W998" i="1"/>
  <c r="X998" i="1"/>
  <c r="Y998" i="1"/>
  <c r="Q999" i="1"/>
  <c r="R999" i="1"/>
  <c r="S999" i="1"/>
  <c r="T999" i="1"/>
  <c r="U999" i="1"/>
  <c r="V999" i="1"/>
  <c r="W999" i="1"/>
  <c r="X999" i="1"/>
  <c r="Y999" i="1"/>
  <c r="Q1000" i="1"/>
  <c r="R1000" i="1"/>
  <c r="S1000" i="1"/>
  <c r="T1000" i="1"/>
  <c r="U1000" i="1"/>
  <c r="V1000" i="1"/>
  <c r="W1000" i="1"/>
  <c r="X1000" i="1"/>
  <c r="Y1000" i="1"/>
  <c r="Q1001" i="1"/>
  <c r="R1001" i="1"/>
  <c r="S1001" i="1"/>
  <c r="T1001" i="1"/>
  <c r="U1001" i="1"/>
  <c r="V1001" i="1"/>
  <c r="W1001" i="1"/>
  <c r="X1001" i="1"/>
  <c r="Y1001" i="1"/>
</calcChain>
</file>

<file path=xl/connections.xml><?xml version="1.0" encoding="utf-8"?>
<connections xmlns="http://schemas.openxmlformats.org/spreadsheetml/2006/main">
  <connection id="1" keepAlive="1" name="Query - MasterData" description="Connection to the 'MasterData' query in the workbook." type="5" refreshedVersion="8" background="1" saveData="1">
    <dbPr connection="Provider=Microsoft.Mashup.OleDb.1;Data Source=$Workbook$;Location=MasterData;Extended Properties=&quot;&quot;" command="SELECT * FROM [MasterData]"/>
  </connection>
</connections>
</file>

<file path=xl/sharedStrings.xml><?xml version="1.0" encoding="utf-8"?>
<sst xmlns="http://schemas.openxmlformats.org/spreadsheetml/2006/main" count="25" uniqueCount="25">
  <si>
    <t>Rental_Level</t>
  </si>
  <si>
    <t>Wind_Category</t>
  </si>
  <si>
    <t>Humidity_Category</t>
  </si>
  <si>
    <t>Temperature_Category</t>
  </si>
  <si>
    <t>Time_Slot</t>
  </si>
  <si>
    <t>Weather_Name</t>
  </si>
  <si>
    <t>Day_Type</t>
  </si>
  <si>
    <t>Month_Name</t>
  </si>
  <si>
    <t>Season_Name</t>
  </si>
  <si>
    <t>cnt</t>
  </si>
  <si>
    <t>registered</t>
  </si>
  <si>
    <t>casual</t>
  </si>
  <si>
    <t>windspeed</t>
  </si>
  <si>
    <t>hum</t>
  </si>
  <si>
    <t>atemp</t>
  </si>
  <si>
    <t>temp</t>
  </si>
  <si>
    <t>weathersit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</si>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</sst>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Sharing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Pivot_Tables"/>
      <sheetName val="Pivot Weather"/>
      <sheetName val="Pivot User Type"/>
      <sheetName val="Pivot Hour"/>
      <sheetName val="Dashboard"/>
      <sheetName val="Forcast"/>
      <sheetName val="Documentation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>
            <v>1</v>
          </cell>
          <cell r="B2" t="str">
            <v>Spring</v>
          </cell>
          <cell r="D2">
            <v>1</v>
          </cell>
          <cell r="E2" t="str">
            <v>Clear</v>
          </cell>
        </row>
        <row r="3">
          <cell r="A3">
            <v>2</v>
          </cell>
          <cell r="B3" t="str">
            <v>Summer</v>
          </cell>
          <cell r="D3">
            <v>2</v>
          </cell>
          <cell r="E3" t="str">
            <v>Mist / Cloudy</v>
          </cell>
        </row>
        <row r="4">
          <cell r="A4">
            <v>3</v>
          </cell>
          <cell r="B4" t="str">
            <v>Fall</v>
          </cell>
          <cell r="D4">
            <v>3</v>
          </cell>
          <cell r="E4" t="str">
            <v>Light Rain / Snow</v>
          </cell>
        </row>
        <row r="5">
          <cell r="A5">
            <v>4</v>
          </cell>
          <cell r="B5" t="str">
            <v>Winter</v>
          </cell>
          <cell r="D5">
            <v>4</v>
          </cell>
          <cell r="E5" t="str">
            <v>Heavy Rain / Snow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6" unboundColumnsRight="9">
    <queryTableFields count="25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asterData" displayName="MasterData" ref="A1:Y1001" tableType="queryTable" totalsRowShown="0">
  <autoFilter ref="A1:Y1001"/>
  <tableColumns count="25">
    <tableColumn id="1" uniqueName="1" name="instant" queryTableFieldId="1"/>
    <tableColumn id="2" uniqueName="2" name="dteday" queryTableFieldId="2" dataDxfId="9"/>
    <tableColumn id="3" uniqueName="3" name="season" queryTableFieldId="3"/>
    <tableColumn id="4" uniqueName="4" name="yr" queryTableFieldId="4"/>
    <tableColumn id="5" uniqueName="5" name="mnth" queryTableFieldId="5"/>
    <tableColumn id="6" uniqueName="6" name="hr" queryTableFieldId="6"/>
    <tableColumn id="7" uniqueName="7" name="holiday" queryTableFieldId="7"/>
    <tableColumn id="8" uniqueName="8" name="weekday" queryTableFieldId="8"/>
    <tableColumn id="9" uniqueName="9" name="weathersit" queryTableFieldId="9"/>
    <tableColumn id="10" uniqueName="10" name="temp" queryTableFieldId="10"/>
    <tableColumn id="11" uniqueName="11" name="atemp" queryTableFieldId="11"/>
    <tableColumn id="12" uniqueName="12" name="hum" queryTableFieldId="12"/>
    <tableColumn id="13" uniqueName="13" name="windspeed" queryTableFieldId="13"/>
    <tableColumn id="14" uniqueName="14" name="casual" queryTableFieldId="14"/>
    <tableColumn id="15" uniqueName="15" name="registered" queryTableFieldId="15"/>
    <tableColumn id="16" uniqueName="16" name="cnt" queryTableFieldId="16"/>
    <tableColumn id="17" uniqueName="17" name="Season_Name" queryTableFieldId="17" dataDxfId="8">
      <calculatedColumnFormula>VLOOKUP(MasterData[[#This Row],[season]],[1]Lookup!$A$2:$B$5,2,FALSE)</calculatedColumnFormula>
    </tableColumn>
    <tableColumn id="18" uniqueName="18" name="Month_Name" queryTableFieldId="18" dataDxfId="7">
      <calculatedColumnFormula>TEXT(DATE(2026,E2,1),"mmmm")</calculatedColumnFormula>
    </tableColumn>
    <tableColumn id="19" uniqueName="19" name="Day_Type" queryTableFieldId="19" dataDxfId="6">
      <calculatedColumnFormula>IF(OR(H2=0,H2=6),"Weekend","Weekday")</calculatedColumnFormula>
    </tableColumn>
    <tableColumn id="20" uniqueName="20" name="Weather_Name" queryTableFieldId="20" dataDxfId="5">
      <calculatedColumnFormula>VLOOKUP(I2,[1]Lookup!$D$2:$E$5,2,FALSE)</calculatedColumnFormula>
    </tableColumn>
    <tableColumn id="21" uniqueName="21" name="Time_Slot" queryTableFieldId="21" dataDxfId="4">
      <calculatedColumnFormula>IF(F2&lt;6,"Night",
IF(F2&lt;12,"Morning",
IF(F2&lt;17,"Afternoon",
IF(F2&lt;21,"Evening","Night"))))</calculatedColumnFormula>
    </tableColumn>
    <tableColumn id="22" uniqueName="22" name="Temperature_Category" queryTableFieldId="22" dataDxfId="3">
      <calculatedColumnFormula>IF(J2&lt;0.3,"Cold",
IF(J2&lt;0.6,"Pleasant","Hot"))</calculatedColumnFormula>
    </tableColumn>
    <tableColumn id="23" uniqueName="23" name="Humidity_Category" queryTableFieldId="23" dataDxfId="2">
      <calculatedColumnFormula>IF(L2&lt;0.4,"Low",
IF(L2&lt;0.7,"Medium","High"))</calculatedColumnFormula>
    </tableColumn>
    <tableColumn id="24" uniqueName="24" name="Wind_Category" queryTableFieldId="24" dataDxfId="1">
      <calculatedColumnFormula>IF(M2&lt;0.2,"Low",
IF(M2&lt;0.4,"Medium","High"))</calculatedColumnFormula>
    </tableColumn>
    <tableColumn id="25" uniqueName="25" name="Rental_Level" queryTableFieldId="25" dataDxfId="0">
      <calculatedColumnFormula>IF(P2&lt;100,"Low",
IF(P2&lt;300,"Medium","High"))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topLeftCell="K1" workbookViewId="0">
      <selection activeCell="AA12" sqref="AA12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7.109375" bestFit="1" customWidth="1"/>
    <col min="13" max="13" width="12.33203125" bestFit="1" customWidth="1"/>
    <col min="14" max="14" width="8.44140625" bestFit="1" customWidth="1"/>
    <col min="15" max="15" width="11.5546875" bestFit="1" customWidth="1"/>
    <col min="16" max="16" width="5.88671875" bestFit="1" customWidth="1"/>
    <col min="17" max="17" width="14.6640625" bestFit="1" customWidth="1"/>
    <col min="18" max="18" width="15" bestFit="1" customWidth="1"/>
    <col min="19" max="19" width="11.5546875" bestFit="1" customWidth="1"/>
    <col min="20" max="20" width="16.5546875" bestFit="1" customWidth="1"/>
    <col min="21" max="21" width="11.5546875" bestFit="1" customWidth="1"/>
    <col min="22" max="22" width="22.88671875" bestFit="1" customWidth="1"/>
  </cols>
  <sheetData>
    <row r="1" spans="1:25" x14ac:dyDescent="0.3">
      <c r="A1" t="s">
        <v>24</v>
      </c>
      <c r="B1" t="s">
        <v>23</v>
      </c>
      <c r="C1" t="s">
        <v>22</v>
      </c>
      <c r="D1" t="s">
        <v>21</v>
      </c>
      <c r="E1" t="s">
        <v>20</v>
      </c>
      <c r="F1" t="s">
        <v>19</v>
      </c>
      <c r="G1" t="s">
        <v>18</v>
      </c>
      <c r="H1" t="s">
        <v>17</v>
      </c>
      <c r="I1" t="s">
        <v>16</v>
      </c>
      <c r="J1" t="s">
        <v>15</v>
      </c>
      <c r="K1" t="s">
        <v>14</v>
      </c>
      <c r="L1" t="s">
        <v>13</v>
      </c>
      <c r="M1" t="s">
        <v>12</v>
      </c>
      <c r="N1" t="s">
        <v>11</v>
      </c>
      <c r="O1" t="s">
        <v>10</v>
      </c>
      <c r="P1" t="s">
        <v>9</v>
      </c>
      <c r="Q1" t="s">
        <v>8</v>
      </c>
      <c r="R1" t="s">
        <v>7</v>
      </c>
      <c r="S1" t="s">
        <v>6</v>
      </c>
      <c r="T1" t="s">
        <v>5</v>
      </c>
      <c r="U1" t="s">
        <v>4</v>
      </c>
      <c r="V1" t="s">
        <v>3</v>
      </c>
      <c r="W1" t="s">
        <v>2</v>
      </c>
      <c r="X1" t="s">
        <v>1</v>
      </c>
      <c r="Y1" t="s">
        <v>0</v>
      </c>
    </row>
    <row r="2" spans="1:25" x14ac:dyDescent="0.3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  <c r="Q2" t="str">
        <f>VLOOKUP(MasterData[[#This Row],[season]],[1]Lookup!$A$2:$B$5,2,FALSE)</f>
        <v>Spring</v>
      </c>
      <c r="R2" t="str">
        <f>TEXT(DATE(2026,E2,1),"mmmm")</f>
        <v>January</v>
      </c>
      <c r="S2" t="str">
        <f>IF(OR(H2=0,H2=6),"Weekend","Weekday")</f>
        <v>Weekend</v>
      </c>
      <c r="T2" s="1" t="str">
        <f>VLOOKUP(I2,[1]Lookup!$D$2:$E$5,2,FALSE)</f>
        <v>Clear</v>
      </c>
      <c r="U2" s="1" t="str">
        <f>IF(F2&lt;6,"Night",
IF(F2&lt;12,"Morning",
IF(F2&lt;17,"Afternoon",
IF(F2&lt;21,"Evening","Night"))))</f>
        <v>Night</v>
      </c>
      <c r="V2" s="1" t="str">
        <f>IF(J2&lt;0.3,"Cold",
IF(J2&lt;0.6,"Pleasant","Hot"))</f>
        <v>Cold</v>
      </c>
      <c r="W2" s="1" t="str">
        <f>IF(L2&lt;0.4,"Low",
IF(L2&lt;0.7,"Medium","High"))</f>
        <v>High</v>
      </c>
      <c r="X2" s="1" t="str">
        <f>IF(M2&lt;0.2,"Low",
IF(M2&lt;0.4,"Medium","High"))</f>
        <v>Low</v>
      </c>
      <c r="Y2" s="1" t="str">
        <f>IF(P2&lt;100,"Low",
IF(P2&lt;300,"Medium","High"))</f>
        <v>Low</v>
      </c>
    </row>
    <row r="3" spans="1:25" x14ac:dyDescent="0.3">
      <c r="A3">
        <v>2</v>
      </c>
      <c r="B3" s="2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 t="str">
        <f>VLOOKUP(MasterData[[#This Row],[season]],[1]Lookup!$A$2:$B$5,2,FALSE)</f>
        <v>Spring</v>
      </c>
      <c r="R3" t="str">
        <f>TEXT(DATE(2026,E3,1),"mmmm")</f>
        <v>January</v>
      </c>
      <c r="S3" t="str">
        <f>IF(OR(H3=0,H3=6),"Weekend","Weekday")</f>
        <v>Weekend</v>
      </c>
      <c r="T3" s="1" t="str">
        <f>VLOOKUP(I3,[1]Lookup!$D$2:$E$5,2,FALSE)</f>
        <v>Clear</v>
      </c>
      <c r="U3" s="1" t="str">
        <f>IF(F3&lt;6,"Night",
IF(F3&lt;12,"Morning",
IF(F3&lt;17,"Afternoon",
IF(F3&lt;21,"Evening","Night"))))</f>
        <v>Night</v>
      </c>
      <c r="V3" s="1" t="str">
        <f>IF(J3&lt;0.3,"Cold",
IF(J3&lt;0.6,"Pleasant","Hot"))</f>
        <v>Cold</v>
      </c>
      <c r="W3" s="1" t="str">
        <f>IF(L3&lt;0.4,"Low",
IF(L3&lt;0.7,"Medium","High"))</f>
        <v>High</v>
      </c>
      <c r="X3" s="1" t="str">
        <f>IF(M3&lt;0.2,"Low",
IF(M3&lt;0.4,"Medium","High"))</f>
        <v>Low</v>
      </c>
      <c r="Y3" s="1" t="str">
        <f>IF(P3&lt;100,"Low",
IF(P3&lt;300,"Medium","High"))</f>
        <v>Low</v>
      </c>
    </row>
    <row r="4" spans="1:25" x14ac:dyDescent="0.3">
      <c r="A4">
        <v>3</v>
      </c>
      <c r="B4" s="2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  <c r="Q4" t="str">
        <f>VLOOKUP(MasterData[[#This Row],[season]],[1]Lookup!$A$2:$B$5,2,FALSE)</f>
        <v>Spring</v>
      </c>
      <c r="R4" t="str">
        <f>TEXT(DATE(2026,E4,1),"mmmm")</f>
        <v>January</v>
      </c>
      <c r="S4" t="str">
        <f>IF(OR(H4=0,H4=6),"Weekend","Weekday")</f>
        <v>Weekend</v>
      </c>
      <c r="T4" s="1" t="str">
        <f>VLOOKUP(I4,[1]Lookup!$D$2:$E$5,2,FALSE)</f>
        <v>Clear</v>
      </c>
      <c r="U4" s="1" t="str">
        <f>IF(F4&lt;6,"Night",
IF(F4&lt;12,"Morning",
IF(F4&lt;17,"Afternoon",
IF(F4&lt;21,"Evening","Night"))))</f>
        <v>Night</v>
      </c>
      <c r="V4" s="1" t="str">
        <f>IF(J4&lt;0.3,"Cold",
IF(J4&lt;0.6,"Pleasant","Hot"))</f>
        <v>Cold</v>
      </c>
      <c r="W4" s="1" t="str">
        <f>IF(L4&lt;0.4,"Low",
IF(L4&lt;0.7,"Medium","High"))</f>
        <v>High</v>
      </c>
      <c r="X4" s="1" t="str">
        <f>IF(M4&lt;0.2,"Low",
IF(M4&lt;0.4,"Medium","High"))</f>
        <v>Low</v>
      </c>
      <c r="Y4" s="1" t="str">
        <f>IF(P4&lt;100,"Low",
IF(P4&lt;300,"Medium","High"))</f>
        <v>Low</v>
      </c>
    </row>
    <row r="5" spans="1:25" x14ac:dyDescent="0.3">
      <c r="A5">
        <v>4</v>
      </c>
      <c r="B5" s="2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 t="str">
        <f>VLOOKUP(MasterData[[#This Row],[season]],[1]Lookup!$A$2:$B$5,2,FALSE)</f>
        <v>Spring</v>
      </c>
      <c r="R5" t="str">
        <f>TEXT(DATE(2026,E5,1),"mmmm")</f>
        <v>January</v>
      </c>
      <c r="S5" t="str">
        <f>IF(OR(H5=0,H5=6),"Weekend","Weekday")</f>
        <v>Weekend</v>
      </c>
      <c r="T5" s="1" t="str">
        <f>VLOOKUP(I5,[1]Lookup!$D$2:$E$5,2,FALSE)</f>
        <v>Clear</v>
      </c>
      <c r="U5" s="1" t="str">
        <f>IF(F5&lt;6,"Night",
IF(F5&lt;12,"Morning",
IF(F5&lt;17,"Afternoon",
IF(F5&lt;21,"Evening","Night"))))</f>
        <v>Night</v>
      </c>
      <c r="V5" s="1" t="str">
        <f>IF(J5&lt;0.3,"Cold",
IF(J5&lt;0.6,"Pleasant","Hot"))</f>
        <v>Cold</v>
      </c>
      <c r="W5" s="1" t="str">
        <f>IF(L5&lt;0.4,"Low",
IF(L5&lt;0.7,"Medium","High"))</f>
        <v>High</v>
      </c>
      <c r="X5" s="1" t="str">
        <f>IF(M5&lt;0.2,"Low",
IF(M5&lt;0.4,"Medium","High"))</f>
        <v>Low</v>
      </c>
      <c r="Y5" s="1" t="str">
        <f>IF(P5&lt;100,"Low",
IF(P5&lt;300,"Medium","High"))</f>
        <v>Low</v>
      </c>
    </row>
    <row r="6" spans="1:25" x14ac:dyDescent="0.3">
      <c r="A6">
        <v>5</v>
      </c>
      <c r="B6" s="2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  <c r="Q6" t="str">
        <f>VLOOKUP(MasterData[[#This Row],[season]],[1]Lookup!$A$2:$B$5,2,FALSE)</f>
        <v>Spring</v>
      </c>
      <c r="R6" t="str">
        <f>TEXT(DATE(2026,E6,1),"mmmm")</f>
        <v>January</v>
      </c>
      <c r="S6" t="str">
        <f>IF(OR(H6=0,H6=6),"Weekend","Weekday")</f>
        <v>Weekend</v>
      </c>
      <c r="T6" s="1" t="str">
        <f>VLOOKUP(I6,[1]Lookup!$D$2:$E$5,2,FALSE)</f>
        <v>Clear</v>
      </c>
      <c r="U6" s="1" t="str">
        <f>IF(F6&lt;6,"Night",
IF(F6&lt;12,"Morning",
IF(F6&lt;17,"Afternoon",
IF(F6&lt;21,"Evening","Night"))))</f>
        <v>Night</v>
      </c>
      <c r="V6" s="1" t="str">
        <f>IF(J6&lt;0.3,"Cold",
IF(J6&lt;0.6,"Pleasant","Hot"))</f>
        <v>Cold</v>
      </c>
      <c r="W6" s="1" t="str">
        <f>IF(L6&lt;0.4,"Low",
IF(L6&lt;0.7,"Medium","High"))</f>
        <v>High</v>
      </c>
      <c r="X6" s="1" t="str">
        <f>IF(M6&lt;0.2,"Low",
IF(M6&lt;0.4,"Medium","High"))</f>
        <v>Low</v>
      </c>
      <c r="Y6" s="1" t="str">
        <f>IF(P6&lt;100,"Low",
IF(P6&lt;300,"Medium","High"))</f>
        <v>Low</v>
      </c>
    </row>
    <row r="7" spans="1:25" x14ac:dyDescent="0.3">
      <c r="A7">
        <v>6</v>
      </c>
      <c r="B7" s="2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  <c r="Q7" t="str">
        <f>VLOOKUP(MasterData[[#This Row],[season]],[1]Lookup!$A$2:$B$5,2,FALSE)</f>
        <v>Spring</v>
      </c>
      <c r="R7" t="str">
        <f>TEXT(DATE(2026,E7,1),"mmmm")</f>
        <v>January</v>
      </c>
      <c r="S7" t="str">
        <f>IF(OR(H7=0,H7=6),"Weekend","Weekday")</f>
        <v>Weekend</v>
      </c>
      <c r="T7" s="1" t="str">
        <f>VLOOKUP(I7,[1]Lookup!$D$2:$E$5,2,FALSE)</f>
        <v>Mist / Cloudy</v>
      </c>
      <c r="U7" s="1" t="str">
        <f>IF(F7&lt;6,"Night",
IF(F7&lt;12,"Morning",
IF(F7&lt;17,"Afternoon",
IF(F7&lt;21,"Evening","Night"))))</f>
        <v>Night</v>
      </c>
      <c r="V7" s="1" t="str">
        <f>IF(J7&lt;0.3,"Cold",
IF(J7&lt;0.6,"Pleasant","Hot"))</f>
        <v>Cold</v>
      </c>
      <c r="W7" s="1" t="str">
        <f>IF(L7&lt;0.4,"Low",
IF(L7&lt;0.7,"Medium","High"))</f>
        <v>High</v>
      </c>
      <c r="X7" s="1" t="str">
        <f>IF(M7&lt;0.2,"Low",
IF(M7&lt;0.4,"Medium","High"))</f>
        <v>Low</v>
      </c>
      <c r="Y7" s="1" t="str">
        <f>IF(P7&lt;100,"Low",
IF(P7&lt;300,"Medium","High"))</f>
        <v>Low</v>
      </c>
    </row>
    <row r="8" spans="1:25" x14ac:dyDescent="0.3">
      <c r="A8">
        <v>7</v>
      </c>
      <c r="B8" s="2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  <c r="Q8" t="str">
        <f>VLOOKUP(MasterData[[#This Row],[season]],[1]Lookup!$A$2:$B$5,2,FALSE)</f>
        <v>Spring</v>
      </c>
      <c r="R8" t="str">
        <f>TEXT(DATE(2026,E8,1),"mmmm")</f>
        <v>January</v>
      </c>
      <c r="S8" t="str">
        <f>IF(OR(H8=0,H8=6),"Weekend","Weekday")</f>
        <v>Weekend</v>
      </c>
      <c r="T8" s="1" t="str">
        <f>VLOOKUP(I8,[1]Lookup!$D$2:$E$5,2,FALSE)</f>
        <v>Clear</v>
      </c>
      <c r="U8" s="1" t="str">
        <f>IF(F8&lt;6,"Night",
IF(F8&lt;12,"Morning",
IF(F8&lt;17,"Afternoon",
IF(F8&lt;21,"Evening","Night"))))</f>
        <v>Morning</v>
      </c>
      <c r="V8" s="1" t="str">
        <f>IF(J8&lt;0.3,"Cold",
IF(J8&lt;0.6,"Pleasant","Hot"))</f>
        <v>Cold</v>
      </c>
      <c r="W8" s="1" t="str">
        <f>IF(L8&lt;0.4,"Low",
IF(L8&lt;0.7,"Medium","High"))</f>
        <v>High</v>
      </c>
      <c r="X8" s="1" t="str">
        <f>IF(M8&lt;0.2,"Low",
IF(M8&lt;0.4,"Medium","High"))</f>
        <v>Low</v>
      </c>
      <c r="Y8" s="1" t="str">
        <f>IF(P8&lt;100,"Low",
IF(P8&lt;300,"Medium","High"))</f>
        <v>Low</v>
      </c>
    </row>
    <row r="9" spans="1:25" x14ac:dyDescent="0.3">
      <c r="A9">
        <v>8</v>
      </c>
      <c r="B9" s="2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  <c r="Q9" t="str">
        <f>VLOOKUP(MasterData[[#This Row],[season]],[1]Lookup!$A$2:$B$5,2,FALSE)</f>
        <v>Spring</v>
      </c>
      <c r="R9" t="str">
        <f>TEXT(DATE(2026,E9,1),"mmmm")</f>
        <v>January</v>
      </c>
      <c r="S9" t="str">
        <f>IF(OR(H9=0,H9=6),"Weekend","Weekday")</f>
        <v>Weekend</v>
      </c>
      <c r="T9" s="1" t="str">
        <f>VLOOKUP(I9,[1]Lookup!$D$2:$E$5,2,FALSE)</f>
        <v>Clear</v>
      </c>
      <c r="U9" s="1" t="str">
        <f>IF(F9&lt;6,"Night",
IF(F9&lt;12,"Morning",
IF(F9&lt;17,"Afternoon",
IF(F9&lt;21,"Evening","Night"))))</f>
        <v>Morning</v>
      </c>
      <c r="V9" s="1" t="str">
        <f>IF(J9&lt;0.3,"Cold",
IF(J9&lt;0.6,"Pleasant","Hot"))</f>
        <v>Cold</v>
      </c>
      <c r="W9" s="1" t="str">
        <f>IF(L9&lt;0.4,"Low",
IF(L9&lt;0.7,"Medium","High"))</f>
        <v>High</v>
      </c>
      <c r="X9" s="1" t="str">
        <f>IF(M9&lt;0.2,"Low",
IF(M9&lt;0.4,"Medium","High"))</f>
        <v>Low</v>
      </c>
      <c r="Y9" s="1" t="str">
        <f>IF(P9&lt;100,"Low",
IF(P9&lt;300,"Medium","High"))</f>
        <v>Low</v>
      </c>
    </row>
    <row r="10" spans="1:25" x14ac:dyDescent="0.3">
      <c r="A10">
        <v>9</v>
      </c>
      <c r="B10" s="2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  <c r="Q10" t="str">
        <f>VLOOKUP(MasterData[[#This Row],[season]],[1]Lookup!$A$2:$B$5,2,FALSE)</f>
        <v>Spring</v>
      </c>
      <c r="R10" t="str">
        <f>TEXT(DATE(2026,E10,1),"mmmm")</f>
        <v>January</v>
      </c>
      <c r="S10" t="str">
        <f>IF(OR(H10=0,H10=6),"Weekend","Weekday")</f>
        <v>Weekend</v>
      </c>
      <c r="T10" s="1" t="str">
        <f>VLOOKUP(I10,[1]Lookup!$D$2:$E$5,2,FALSE)</f>
        <v>Clear</v>
      </c>
      <c r="U10" s="1" t="str">
        <f>IF(F10&lt;6,"Night",
IF(F10&lt;12,"Morning",
IF(F10&lt;17,"Afternoon",
IF(F10&lt;21,"Evening","Night"))))</f>
        <v>Morning</v>
      </c>
      <c r="V10" s="1" t="str">
        <f>IF(J10&lt;0.3,"Cold",
IF(J10&lt;0.6,"Pleasant","Hot"))</f>
        <v>Cold</v>
      </c>
      <c r="W10" s="1" t="str">
        <f>IF(L10&lt;0.4,"Low",
IF(L10&lt;0.7,"Medium","High"))</f>
        <v>High</v>
      </c>
      <c r="X10" s="1" t="str">
        <f>IF(M10&lt;0.2,"Low",
IF(M10&lt;0.4,"Medium","High"))</f>
        <v>Low</v>
      </c>
      <c r="Y10" s="1" t="str">
        <f>IF(P10&lt;100,"Low",
IF(P10&lt;300,"Medium","High"))</f>
        <v>Low</v>
      </c>
    </row>
    <row r="11" spans="1:25" x14ac:dyDescent="0.3">
      <c r="A11">
        <v>10</v>
      </c>
      <c r="B11" s="2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  <c r="Q11" t="str">
        <f>VLOOKUP(MasterData[[#This Row],[season]],[1]Lookup!$A$2:$B$5,2,FALSE)</f>
        <v>Spring</v>
      </c>
      <c r="R11" t="str">
        <f>TEXT(DATE(2026,E11,1),"mmmm")</f>
        <v>January</v>
      </c>
      <c r="S11" t="str">
        <f>IF(OR(H11=0,H11=6),"Weekend","Weekday")</f>
        <v>Weekend</v>
      </c>
      <c r="T11" s="1" t="str">
        <f>VLOOKUP(I11,[1]Lookup!$D$2:$E$5,2,FALSE)</f>
        <v>Clear</v>
      </c>
      <c r="U11" s="1" t="str">
        <f>IF(F11&lt;6,"Night",
IF(F11&lt;12,"Morning",
IF(F11&lt;17,"Afternoon",
IF(F11&lt;21,"Evening","Night"))))</f>
        <v>Morning</v>
      </c>
      <c r="V11" s="1" t="str">
        <f>IF(J11&lt;0.3,"Cold",
IF(J11&lt;0.6,"Pleasant","Hot"))</f>
        <v>Pleasant</v>
      </c>
      <c r="W11" s="1" t="str">
        <f>IF(L11&lt;0.4,"Low",
IF(L11&lt;0.7,"Medium","High"))</f>
        <v>High</v>
      </c>
      <c r="X11" s="1" t="str">
        <f>IF(M11&lt;0.2,"Low",
IF(M11&lt;0.4,"Medium","High"))</f>
        <v>Low</v>
      </c>
      <c r="Y11" s="1" t="str">
        <f>IF(P11&lt;100,"Low",
IF(P11&lt;300,"Medium","High"))</f>
        <v>Low</v>
      </c>
    </row>
    <row r="12" spans="1:25" x14ac:dyDescent="0.3">
      <c r="A12">
        <v>11</v>
      </c>
      <c r="B12" s="2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 t="str">
        <f>VLOOKUP(MasterData[[#This Row],[season]],[1]Lookup!$A$2:$B$5,2,FALSE)</f>
        <v>Spring</v>
      </c>
      <c r="R12" t="str">
        <f>TEXT(DATE(2026,E12,1),"mmmm")</f>
        <v>January</v>
      </c>
      <c r="S12" t="str">
        <f>IF(OR(H12=0,H12=6),"Weekend","Weekday")</f>
        <v>Weekend</v>
      </c>
      <c r="T12" s="1" t="str">
        <f>VLOOKUP(I12,[1]Lookup!$D$2:$E$5,2,FALSE)</f>
        <v>Clear</v>
      </c>
      <c r="U12" s="1" t="str">
        <f>IF(F12&lt;6,"Night",
IF(F12&lt;12,"Morning",
IF(F12&lt;17,"Afternoon",
IF(F12&lt;21,"Evening","Night"))))</f>
        <v>Morning</v>
      </c>
      <c r="V12" s="1" t="str">
        <f>IF(J12&lt;0.3,"Cold",
IF(J12&lt;0.6,"Pleasant","Hot"))</f>
        <v>Pleasant</v>
      </c>
      <c r="W12" s="1" t="str">
        <f>IF(L12&lt;0.4,"Low",
IF(L12&lt;0.7,"Medium","High"))</f>
        <v>High</v>
      </c>
      <c r="X12" s="1" t="str">
        <f>IF(M12&lt;0.2,"Low",
IF(M12&lt;0.4,"Medium","High"))</f>
        <v>Medium</v>
      </c>
      <c r="Y12" s="1" t="str">
        <f>IF(P12&lt;100,"Low",
IF(P12&lt;300,"Medium","High"))</f>
        <v>Low</v>
      </c>
    </row>
    <row r="13" spans="1:25" x14ac:dyDescent="0.3">
      <c r="A13">
        <v>12</v>
      </c>
      <c r="B13" s="2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 t="str">
        <f>VLOOKUP(MasterData[[#This Row],[season]],[1]Lookup!$A$2:$B$5,2,FALSE)</f>
        <v>Spring</v>
      </c>
      <c r="R13" t="str">
        <f>TEXT(DATE(2026,E13,1),"mmmm")</f>
        <v>January</v>
      </c>
      <c r="S13" t="str">
        <f>IF(OR(H13=0,H13=6),"Weekend","Weekday")</f>
        <v>Weekend</v>
      </c>
      <c r="T13" s="1" t="str">
        <f>VLOOKUP(I13,[1]Lookup!$D$2:$E$5,2,FALSE)</f>
        <v>Clear</v>
      </c>
      <c r="U13" s="1" t="str">
        <f>IF(F13&lt;6,"Night",
IF(F13&lt;12,"Morning",
IF(F13&lt;17,"Afternoon",
IF(F13&lt;21,"Evening","Night"))))</f>
        <v>Morning</v>
      </c>
      <c r="V13" s="1" t="str">
        <f>IF(J13&lt;0.3,"Cold",
IF(J13&lt;0.6,"Pleasant","Hot"))</f>
        <v>Pleasant</v>
      </c>
      <c r="W13" s="1" t="str">
        <f>IF(L13&lt;0.4,"Low",
IF(L13&lt;0.7,"Medium","High"))</f>
        <v>High</v>
      </c>
      <c r="X13" s="1" t="str">
        <f>IF(M13&lt;0.2,"Low",
IF(M13&lt;0.4,"Medium","High"))</f>
        <v>Medium</v>
      </c>
      <c r="Y13" s="1" t="str">
        <f>IF(P13&lt;100,"Low",
IF(P13&lt;300,"Medium","High"))</f>
        <v>Low</v>
      </c>
    </row>
    <row r="14" spans="1:25" x14ac:dyDescent="0.3">
      <c r="A14">
        <v>13</v>
      </c>
      <c r="B14" s="2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 t="str">
        <f>VLOOKUP(MasterData[[#This Row],[season]],[1]Lookup!$A$2:$B$5,2,FALSE)</f>
        <v>Spring</v>
      </c>
      <c r="R14" t="str">
        <f>TEXT(DATE(2026,E14,1),"mmmm")</f>
        <v>January</v>
      </c>
      <c r="S14" t="str">
        <f>IF(OR(H14=0,H14=6),"Weekend","Weekday")</f>
        <v>Weekend</v>
      </c>
      <c r="T14" s="1" t="str">
        <f>VLOOKUP(I14,[1]Lookup!$D$2:$E$5,2,FALSE)</f>
        <v>Clear</v>
      </c>
      <c r="U14" s="1" t="str">
        <f>IF(F14&lt;6,"Night",
IF(F14&lt;12,"Morning",
IF(F14&lt;17,"Afternoon",
IF(F14&lt;21,"Evening","Night"))))</f>
        <v>Afternoon</v>
      </c>
      <c r="V14" s="1" t="str">
        <f>IF(J14&lt;0.3,"Cold",
IF(J14&lt;0.6,"Pleasant","Hot"))</f>
        <v>Pleasant</v>
      </c>
      <c r="W14" s="1" t="str">
        <f>IF(L14&lt;0.4,"Low",
IF(L14&lt;0.7,"Medium","High"))</f>
        <v>High</v>
      </c>
      <c r="X14" s="1" t="str">
        <f>IF(M14&lt;0.2,"Low",
IF(M14&lt;0.4,"Medium","High"))</f>
        <v>Medium</v>
      </c>
      <c r="Y14" s="1" t="str">
        <f>IF(P14&lt;100,"Low",
IF(P14&lt;300,"Medium","High"))</f>
        <v>Low</v>
      </c>
    </row>
    <row r="15" spans="1:25" x14ac:dyDescent="0.3">
      <c r="A15">
        <v>14</v>
      </c>
      <c r="B15" s="2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 t="str">
        <f>VLOOKUP(MasterData[[#This Row],[season]],[1]Lookup!$A$2:$B$5,2,FALSE)</f>
        <v>Spring</v>
      </c>
      <c r="R15" t="str">
        <f>TEXT(DATE(2026,E15,1),"mmmm")</f>
        <v>January</v>
      </c>
      <c r="S15" t="str">
        <f>IF(OR(H15=0,H15=6),"Weekend","Weekday")</f>
        <v>Weekend</v>
      </c>
      <c r="T15" s="1" t="str">
        <f>VLOOKUP(I15,[1]Lookup!$D$2:$E$5,2,FALSE)</f>
        <v>Mist / Cloudy</v>
      </c>
      <c r="U15" s="1" t="str">
        <f>IF(F15&lt;6,"Night",
IF(F15&lt;12,"Morning",
IF(F15&lt;17,"Afternoon",
IF(F15&lt;21,"Evening","Night"))))</f>
        <v>Afternoon</v>
      </c>
      <c r="V15" s="1" t="str">
        <f>IF(J15&lt;0.3,"Cold",
IF(J15&lt;0.6,"Pleasant","Hot"))</f>
        <v>Pleasant</v>
      </c>
      <c r="W15" s="1" t="str">
        <f>IF(L15&lt;0.4,"Low",
IF(L15&lt;0.7,"Medium","High"))</f>
        <v>High</v>
      </c>
      <c r="X15" s="1" t="str">
        <f>IF(M15&lt;0.2,"Low",
IF(M15&lt;0.4,"Medium","High"))</f>
        <v>Medium</v>
      </c>
      <c r="Y15" s="1" t="str">
        <f>IF(P15&lt;100,"Low",
IF(P15&lt;300,"Medium","High"))</f>
        <v>Low</v>
      </c>
    </row>
    <row r="16" spans="1:25" x14ac:dyDescent="0.3">
      <c r="A16">
        <v>15</v>
      </c>
      <c r="B16" s="2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 t="str">
        <f>VLOOKUP(MasterData[[#This Row],[season]],[1]Lookup!$A$2:$B$5,2,FALSE)</f>
        <v>Spring</v>
      </c>
      <c r="R16" t="str">
        <f>TEXT(DATE(2026,E16,1),"mmmm")</f>
        <v>January</v>
      </c>
      <c r="S16" t="str">
        <f>IF(OR(H16=0,H16=6),"Weekend","Weekday")</f>
        <v>Weekend</v>
      </c>
      <c r="T16" s="1" t="str">
        <f>VLOOKUP(I16,[1]Lookup!$D$2:$E$5,2,FALSE)</f>
        <v>Mist / Cloudy</v>
      </c>
      <c r="U16" s="1" t="str">
        <f>IF(F16&lt;6,"Night",
IF(F16&lt;12,"Morning",
IF(F16&lt;17,"Afternoon",
IF(F16&lt;21,"Evening","Night"))))</f>
        <v>Afternoon</v>
      </c>
      <c r="V16" s="1" t="str">
        <f>IF(J16&lt;0.3,"Cold",
IF(J16&lt;0.6,"Pleasant","Hot"))</f>
        <v>Pleasant</v>
      </c>
      <c r="W16" s="1" t="str">
        <f>IF(L16&lt;0.4,"Low",
IF(L16&lt;0.7,"Medium","High"))</f>
        <v>High</v>
      </c>
      <c r="X16" s="1" t="str">
        <f>IF(M16&lt;0.2,"Low",
IF(M16&lt;0.4,"Medium","High"))</f>
        <v>Medium</v>
      </c>
      <c r="Y16" s="1" t="str">
        <f>IF(P16&lt;100,"Low",
IF(P16&lt;300,"Medium","High"))</f>
        <v>Medium</v>
      </c>
    </row>
    <row r="17" spans="1:25" x14ac:dyDescent="0.3">
      <c r="A17">
        <v>16</v>
      </c>
      <c r="B17" s="2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 t="str">
        <f>VLOOKUP(MasterData[[#This Row],[season]],[1]Lookup!$A$2:$B$5,2,FALSE)</f>
        <v>Spring</v>
      </c>
      <c r="R17" t="str">
        <f>TEXT(DATE(2026,E17,1),"mmmm")</f>
        <v>January</v>
      </c>
      <c r="S17" t="str">
        <f>IF(OR(H17=0,H17=6),"Weekend","Weekday")</f>
        <v>Weekend</v>
      </c>
      <c r="T17" s="1" t="str">
        <f>VLOOKUP(I17,[1]Lookup!$D$2:$E$5,2,FALSE)</f>
        <v>Mist / Cloudy</v>
      </c>
      <c r="U17" s="1" t="str">
        <f>IF(F17&lt;6,"Night",
IF(F17&lt;12,"Morning",
IF(F17&lt;17,"Afternoon",
IF(F17&lt;21,"Evening","Night"))))</f>
        <v>Afternoon</v>
      </c>
      <c r="V17" s="1" t="str">
        <f>IF(J17&lt;0.3,"Cold",
IF(J17&lt;0.6,"Pleasant","Hot"))</f>
        <v>Pleasant</v>
      </c>
      <c r="W17" s="1" t="str">
        <f>IF(L17&lt;0.4,"Low",
IF(L17&lt;0.7,"Medium","High"))</f>
        <v>High</v>
      </c>
      <c r="X17" s="1" t="str">
        <f>IF(M17&lt;0.2,"Low",
IF(M17&lt;0.4,"Medium","High"))</f>
        <v>Medium</v>
      </c>
      <c r="Y17" s="1" t="str">
        <f>IF(P17&lt;100,"Low",
IF(P17&lt;300,"Medium","High"))</f>
        <v>Medium</v>
      </c>
    </row>
    <row r="18" spans="1:25" x14ac:dyDescent="0.3">
      <c r="A18">
        <v>17</v>
      </c>
      <c r="B18" s="2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 t="str">
        <f>VLOOKUP(MasterData[[#This Row],[season]],[1]Lookup!$A$2:$B$5,2,FALSE)</f>
        <v>Spring</v>
      </c>
      <c r="R18" t="str">
        <f>TEXT(DATE(2026,E18,1),"mmmm")</f>
        <v>January</v>
      </c>
      <c r="S18" t="str">
        <f>IF(OR(H18=0,H18=6),"Weekend","Weekday")</f>
        <v>Weekend</v>
      </c>
      <c r="T18" s="1" t="str">
        <f>VLOOKUP(I18,[1]Lookup!$D$2:$E$5,2,FALSE)</f>
        <v>Mist / Cloudy</v>
      </c>
      <c r="U18" s="1" t="str">
        <f>IF(F18&lt;6,"Night",
IF(F18&lt;12,"Morning",
IF(F18&lt;17,"Afternoon",
IF(F18&lt;21,"Evening","Night"))))</f>
        <v>Afternoon</v>
      </c>
      <c r="V18" s="1" t="str">
        <f>IF(J18&lt;0.3,"Cold",
IF(J18&lt;0.6,"Pleasant","Hot"))</f>
        <v>Pleasant</v>
      </c>
      <c r="W18" s="1" t="str">
        <f>IF(L18&lt;0.4,"Low",
IF(L18&lt;0.7,"Medium","High"))</f>
        <v>High</v>
      </c>
      <c r="X18" s="1" t="str">
        <f>IF(M18&lt;0.2,"Low",
IF(M18&lt;0.4,"Medium","High"))</f>
        <v>Medium</v>
      </c>
      <c r="Y18" s="1" t="str">
        <f>IF(P18&lt;100,"Low",
IF(P18&lt;300,"Medium","High"))</f>
        <v>Low</v>
      </c>
    </row>
    <row r="19" spans="1:25" x14ac:dyDescent="0.3">
      <c r="A19">
        <v>18</v>
      </c>
      <c r="B19" s="2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Q19" t="str">
        <f>VLOOKUP(MasterData[[#This Row],[season]],[1]Lookup!$A$2:$B$5,2,FALSE)</f>
        <v>Spring</v>
      </c>
      <c r="R19" t="str">
        <f>TEXT(DATE(2026,E19,1),"mmmm")</f>
        <v>January</v>
      </c>
      <c r="S19" t="str">
        <f>IF(OR(H19=0,H19=6),"Weekend","Weekday")</f>
        <v>Weekend</v>
      </c>
      <c r="T19" s="1" t="str">
        <f>VLOOKUP(I19,[1]Lookup!$D$2:$E$5,2,FALSE)</f>
        <v>Mist / Cloudy</v>
      </c>
      <c r="U19" s="1" t="str">
        <f>IF(F19&lt;6,"Night",
IF(F19&lt;12,"Morning",
IF(F19&lt;17,"Afternoon",
IF(F19&lt;21,"Evening","Night"))))</f>
        <v>Evening</v>
      </c>
      <c r="V19" s="1" t="str">
        <f>IF(J19&lt;0.3,"Cold",
IF(J19&lt;0.6,"Pleasant","Hot"))</f>
        <v>Pleasant</v>
      </c>
      <c r="W19" s="1" t="str">
        <f>IF(L19&lt;0.4,"Low",
IF(L19&lt;0.7,"Medium","High"))</f>
        <v>High</v>
      </c>
      <c r="X19" s="1" t="str">
        <f>IF(M19&lt;0.2,"Low",
IF(M19&lt;0.4,"Medium","High"))</f>
        <v>Medium</v>
      </c>
      <c r="Y19" s="1" t="str">
        <f>IF(P19&lt;100,"Low",
IF(P19&lt;300,"Medium","High"))</f>
        <v>Low</v>
      </c>
    </row>
    <row r="20" spans="1:25" x14ac:dyDescent="0.3">
      <c r="A20">
        <v>19</v>
      </c>
      <c r="B20" s="2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 t="str">
        <f>VLOOKUP(MasterData[[#This Row],[season]],[1]Lookup!$A$2:$B$5,2,FALSE)</f>
        <v>Spring</v>
      </c>
      <c r="R20" t="str">
        <f>TEXT(DATE(2026,E20,1),"mmmm")</f>
        <v>January</v>
      </c>
      <c r="S20" t="str">
        <f>IF(OR(H20=0,H20=6),"Weekend","Weekday")</f>
        <v>Weekend</v>
      </c>
      <c r="T20" s="1" t="str">
        <f>VLOOKUP(I20,[1]Lookup!$D$2:$E$5,2,FALSE)</f>
        <v>Light Rain / Snow</v>
      </c>
      <c r="U20" s="1" t="str">
        <f>IF(F20&lt;6,"Night",
IF(F20&lt;12,"Morning",
IF(F20&lt;17,"Afternoon",
IF(F20&lt;21,"Evening","Night"))))</f>
        <v>Evening</v>
      </c>
      <c r="V20" s="1" t="str">
        <f>IF(J20&lt;0.3,"Cold",
IF(J20&lt;0.6,"Pleasant","Hot"))</f>
        <v>Pleasant</v>
      </c>
      <c r="W20" s="1" t="str">
        <f>IF(L20&lt;0.4,"Low",
IF(L20&lt;0.7,"Medium","High"))</f>
        <v>High</v>
      </c>
      <c r="X20" s="1" t="str">
        <f>IF(M20&lt;0.2,"Low",
IF(M20&lt;0.4,"Medium","High"))</f>
        <v>Medium</v>
      </c>
      <c r="Y20" s="1" t="str">
        <f>IF(P20&lt;100,"Low",
IF(P20&lt;300,"Medium","High"))</f>
        <v>Low</v>
      </c>
    </row>
    <row r="21" spans="1:25" x14ac:dyDescent="0.3">
      <c r="A21">
        <v>20</v>
      </c>
      <c r="B21" s="2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 t="str">
        <f>VLOOKUP(MasterData[[#This Row],[season]],[1]Lookup!$A$2:$B$5,2,FALSE)</f>
        <v>Spring</v>
      </c>
      <c r="R21" t="str">
        <f>TEXT(DATE(2026,E21,1),"mmmm")</f>
        <v>January</v>
      </c>
      <c r="S21" t="str">
        <f>IF(OR(H21=0,H21=6),"Weekend","Weekday")</f>
        <v>Weekend</v>
      </c>
      <c r="T21" s="1" t="str">
        <f>VLOOKUP(I21,[1]Lookup!$D$2:$E$5,2,FALSE)</f>
        <v>Light Rain / Snow</v>
      </c>
      <c r="U21" s="1" t="str">
        <f>IF(F21&lt;6,"Night",
IF(F21&lt;12,"Morning",
IF(F21&lt;17,"Afternoon",
IF(F21&lt;21,"Evening","Night"))))</f>
        <v>Evening</v>
      </c>
      <c r="V21" s="1" t="str">
        <f>IF(J21&lt;0.3,"Cold",
IF(J21&lt;0.6,"Pleasant","Hot"))</f>
        <v>Pleasant</v>
      </c>
      <c r="W21" s="1" t="str">
        <f>IF(L21&lt;0.4,"Low",
IF(L21&lt;0.7,"Medium","High"))</f>
        <v>High</v>
      </c>
      <c r="X21" s="1" t="str">
        <f>IF(M21&lt;0.2,"Low",
IF(M21&lt;0.4,"Medium","High"))</f>
        <v>Medium</v>
      </c>
      <c r="Y21" s="1" t="str">
        <f>IF(P21&lt;100,"Low",
IF(P21&lt;300,"Medium","High"))</f>
        <v>Low</v>
      </c>
    </row>
    <row r="22" spans="1:25" x14ac:dyDescent="0.3">
      <c r="A22">
        <v>21</v>
      </c>
      <c r="B22" s="2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 t="str">
        <f>VLOOKUP(MasterData[[#This Row],[season]],[1]Lookup!$A$2:$B$5,2,FALSE)</f>
        <v>Spring</v>
      </c>
      <c r="R22" t="str">
        <f>TEXT(DATE(2026,E22,1),"mmmm")</f>
        <v>January</v>
      </c>
      <c r="S22" t="str">
        <f>IF(OR(H22=0,H22=6),"Weekend","Weekday")</f>
        <v>Weekend</v>
      </c>
      <c r="T22" s="1" t="str">
        <f>VLOOKUP(I22,[1]Lookup!$D$2:$E$5,2,FALSE)</f>
        <v>Mist / Cloudy</v>
      </c>
      <c r="U22" s="1" t="str">
        <f>IF(F22&lt;6,"Night",
IF(F22&lt;12,"Morning",
IF(F22&lt;17,"Afternoon",
IF(F22&lt;21,"Evening","Night"))))</f>
        <v>Evening</v>
      </c>
      <c r="V22" s="1" t="str">
        <f>IF(J22&lt;0.3,"Cold",
IF(J22&lt;0.6,"Pleasant","Hot"))</f>
        <v>Pleasant</v>
      </c>
      <c r="W22" s="1" t="str">
        <f>IF(L22&lt;0.4,"Low",
IF(L22&lt;0.7,"Medium","High"))</f>
        <v>High</v>
      </c>
      <c r="X22" s="1" t="str">
        <f>IF(M22&lt;0.2,"Low",
IF(M22&lt;0.4,"Medium","High"))</f>
        <v>Medium</v>
      </c>
      <c r="Y22" s="1" t="str">
        <f>IF(P22&lt;100,"Low",
IF(P22&lt;300,"Medium","High"))</f>
        <v>Low</v>
      </c>
    </row>
    <row r="23" spans="1:25" x14ac:dyDescent="0.3">
      <c r="A23">
        <v>22</v>
      </c>
      <c r="B23" s="2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 t="str">
        <f>VLOOKUP(MasterData[[#This Row],[season]],[1]Lookup!$A$2:$B$5,2,FALSE)</f>
        <v>Spring</v>
      </c>
      <c r="R23" t="str">
        <f>TEXT(DATE(2026,E23,1),"mmmm")</f>
        <v>January</v>
      </c>
      <c r="S23" t="str">
        <f>IF(OR(H23=0,H23=6),"Weekend","Weekday")</f>
        <v>Weekend</v>
      </c>
      <c r="T23" s="1" t="str">
        <f>VLOOKUP(I23,[1]Lookup!$D$2:$E$5,2,FALSE)</f>
        <v>Mist / Cloudy</v>
      </c>
      <c r="U23" s="1" t="str">
        <f>IF(F23&lt;6,"Night",
IF(F23&lt;12,"Morning",
IF(F23&lt;17,"Afternoon",
IF(F23&lt;21,"Evening","Night"))))</f>
        <v>Night</v>
      </c>
      <c r="V23" s="1" t="str">
        <f>IF(J23&lt;0.3,"Cold",
IF(J23&lt;0.6,"Pleasant","Hot"))</f>
        <v>Pleasant</v>
      </c>
      <c r="W23" s="1" t="str">
        <f>IF(L23&lt;0.4,"Low",
IF(L23&lt;0.7,"Medium","High"))</f>
        <v>High</v>
      </c>
      <c r="X23" s="1" t="str">
        <f>IF(M23&lt;0.2,"Low",
IF(M23&lt;0.4,"Medium","High"))</f>
        <v>Low</v>
      </c>
      <c r="Y23" s="1" t="str">
        <f>IF(P23&lt;100,"Low",
IF(P23&lt;300,"Medium","High"))</f>
        <v>Low</v>
      </c>
    </row>
    <row r="24" spans="1:25" x14ac:dyDescent="0.3">
      <c r="A24">
        <v>23</v>
      </c>
      <c r="B24" s="2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 t="str">
        <f>VLOOKUP(MasterData[[#This Row],[season]],[1]Lookup!$A$2:$B$5,2,FALSE)</f>
        <v>Spring</v>
      </c>
      <c r="R24" t="str">
        <f>TEXT(DATE(2026,E24,1),"mmmm")</f>
        <v>January</v>
      </c>
      <c r="S24" t="str">
        <f>IF(OR(H24=0,H24=6),"Weekend","Weekday")</f>
        <v>Weekend</v>
      </c>
      <c r="T24" s="1" t="str">
        <f>VLOOKUP(I24,[1]Lookup!$D$2:$E$5,2,FALSE)</f>
        <v>Mist / Cloudy</v>
      </c>
      <c r="U24" s="1" t="str">
        <f>IF(F24&lt;6,"Night",
IF(F24&lt;12,"Morning",
IF(F24&lt;17,"Afternoon",
IF(F24&lt;21,"Evening","Night"))))</f>
        <v>Night</v>
      </c>
      <c r="V24" s="1" t="str">
        <f>IF(J24&lt;0.3,"Cold",
IF(J24&lt;0.6,"Pleasant","Hot"))</f>
        <v>Pleasant</v>
      </c>
      <c r="W24" s="1" t="str">
        <f>IF(L24&lt;0.4,"Low",
IF(L24&lt;0.7,"Medium","High"))</f>
        <v>High</v>
      </c>
      <c r="X24" s="1" t="str">
        <f>IF(M24&lt;0.2,"Low",
IF(M24&lt;0.4,"Medium","High"))</f>
        <v>Medium</v>
      </c>
      <c r="Y24" s="1" t="str">
        <f>IF(P24&lt;100,"Low",
IF(P24&lt;300,"Medium","High"))</f>
        <v>Low</v>
      </c>
    </row>
    <row r="25" spans="1:25" x14ac:dyDescent="0.3">
      <c r="A25">
        <v>24</v>
      </c>
      <c r="B25" s="2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Q25" t="str">
        <f>VLOOKUP(MasterData[[#This Row],[season]],[1]Lookup!$A$2:$B$5,2,FALSE)</f>
        <v>Spring</v>
      </c>
      <c r="R25" t="str">
        <f>TEXT(DATE(2026,E25,1),"mmmm")</f>
        <v>January</v>
      </c>
      <c r="S25" t="str">
        <f>IF(OR(H25=0,H25=6),"Weekend","Weekday")</f>
        <v>Weekend</v>
      </c>
      <c r="T25" s="1" t="str">
        <f>VLOOKUP(I25,[1]Lookup!$D$2:$E$5,2,FALSE)</f>
        <v>Mist / Cloudy</v>
      </c>
      <c r="U25" s="1" t="str">
        <f>IF(F25&lt;6,"Night",
IF(F25&lt;12,"Morning",
IF(F25&lt;17,"Afternoon",
IF(F25&lt;21,"Evening","Night"))))</f>
        <v>Night</v>
      </c>
      <c r="V25" s="1" t="str">
        <f>IF(J25&lt;0.3,"Cold",
IF(J25&lt;0.6,"Pleasant","Hot"))</f>
        <v>Pleasant</v>
      </c>
      <c r="W25" s="1" t="str">
        <f>IF(L25&lt;0.4,"Low",
IF(L25&lt;0.7,"Medium","High"))</f>
        <v>High</v>
      </c>
      <c r="X25" s="1" t="str">
        <f>IF(M25&lt;0.2,"Low",
IF(M25&lt;0.4,"Medium","High"))</f>
        <v>Medium</v>
      </c>
      <c r="Y25" s="1" t="str">
        <f>IF(P25&lt;100,"Low",
IF(P25&lt;300,"Medium","High"))</f>
        <v>Low</v>
      </c>
    </row>
    <row r="26" spans="1:25" x14ac:dyDescent="0.3">
      <c r="A26">
        <v>25</v>
      </c>
      <c r="B26" s="2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 t="str">
        <f>VLOOKUP(MasterData[[#This Row],[season]],[1]Lookup!$A$2:$B$5,2,FALSE)</f>
        <v>Spring</v>
      </c>
      <c r="R26" t="str">
        <f>TEXT(DATE(2026,E26,1),"mmmm")</f>
        <v>January</v>
      </c>
      <c r="S26" t="str">
        <f>IF(OR(H26=0,H26=6),"Weekend","Weekday")</f>
        <v>Weekend</v>
      </c>
      <c r="T26" s="1" t="str">
        <f>VLOOKUP(I26,[1]Lookup!$D$2:$E$5,2,FALSE)</f>
        <v>Mist / Cloudy</v>
      </c>
      <c r="U26" s="1" t="str">
        <f>IF(F26&lt;6,"Night",
IF(F26&lt;12,"Morning",
IF(F26&lt;17,"Afternoon",
IF(F26&lt;21,"Evening","Night"))))</f>
        <v>Night</v>
      </c>
      <c r="V26" s="1" t="str">
        <f>IF(J26&lt;0.3,"Cold",
IF(J26&lt;0.6,"Pleasant","Hot"))</f>
        <v>Pleasant</v>
      </c>
      <c r="W26" s="1" t="str">
        <f>IF(L26&lt;0.4,"Low",
IF(L26&lt;0.7,"Medium","High"))</f>
        <v>High</v>
      </c>
      <c r="X26" s="1" t="str">
        <f>IF(M26&lt;0.2,"Low",
IF(M26&lt;0.4,"Medium","High"))</f>
        <v>Medium</v>
      </c>
      <c r="Y26" s="1" t="str">
        <f>IF(P26&lt;100,"Low",
IF(P26&lt;300,"Medium","High"))</f>
        <v>Low</v>
      </c>
    </row>
    <row r="27" spans="1:25" x14ac:dyDescent="0.3">
      <c r="A27">
        <v>26</v>
      </c>
      <c r="B27" s="2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 t="str">
        <f>VLOOKUP(MasterData[[#This Row],[season]],[1]Lookup!$A$2:$B$5,2,FALSE)</f>
        <v>Spring</v>
      </c>
      <c r="R27" t="str">
        <f>TEXT(DATE(2026,E27,1),"mmmm")</f>
        <v>January</v>
      </c>
      <c r="S27" t="str">
        <f>IF(OR(H27=0,H27=6),"Weekend","Weekday")</f>
        <v>Weekend</v>
      </c>
      <c r="T27" s="1" t="str">
        <f>VLOOKUP(I27,[1]Lookup!$D$2:$E$5,2,FALSE)</f>
        <v>Mist / Cloudy</v>
      </c>
      <c r="U27" s="1" t="str">
        <f>IF(F27&lt;6,"Night",
IF(F27&lt;12,"Morning",
IF(F27&lt;17,"Afternoon",
IF(F27&lt;21,"Evening","Night"))))</f>
        <v>Night</v>
      </c>
      <c r="V27" s="1" t="str">
        <f>IF(J27&lt;0.3,"Cold",
IF(J27&lt;0.6,"Pleasant","Hot"))</f>
        <v>Pleasant</v>
      </c>
      <c r="W27" s="1" t="str">
        <f>IF(L27&lt;0.4,"Low",
IF(L27&lt;0.7,"Medium","High"))</f>
        <v>High</v>
      </c>
      <c r="X27" s="1" t="str">
        <f>IF(M27&lt;0.2,"Low",
IF(M27&lt;0.4,"Medium","High"))</f>
        <v>Medium</v>
      </c>
      <c r="Y27" s="1" t="str">
        <f>IF(P27&lt;100,"Low",
IF(P27&lt;300,"Medium","High"))</f>
        <v>Low</v>
      </c>
    </row>
    <row r="28" spans="1:25" x14ac:dyDescent="0.3">
      <c r="A28">
        <v>27</v>
      </c>
      <c r="B28" s="2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 t="str">
        <f>VLOOKUP(MasterData[[#This Row],[season]],[1]Lookup!$A$2:$B$5,2,FALSE)</f>
        <v>Spring</v>
      </c>
      <c r="R28" t="str">
        <f>TEXT(DATE(2026,E28,1),"mmmm")</f>
        <v>January</v>
      </c>
      <c r="S28" t="str">
        <f>IF(OR(H28=0,H28=6),"Weekend","Weekday")</f>
        <v>Weekend</v>
      </c>
      <c r="T28" s="1" t="str">
        <f>VLOOKUP(I28,[1]Lookup!$D$2:$E$5,2,FALSE)</f>
        <v>Mist / Cloudy</v>
      </c>
      <c r="U28" s="1" t="str">
        <f>IF(F28&lt;6,"Night",
IF(F28&lt;12,"Morning",
IF(F28&lt;17,"Afternoon",
IF(F28&lt;21,"Evening","Night"))))</f>
        <v>Night</v>
      </c>
      <c r="V28" s="1" t="str">
        <f>IF(J28&lt;0.3,"Cold",
IF(J28&lt;0.6,"Pleasant","Hot"))</f>
        <v>Pleasant</v>
      </c>
      <c r="W28" s="1" t="str">
        <f>IF(L28&lt;0.4,"Low",
IF(L28&lt;0.7,"Medium","High"))</f>
        <v>High</v>
      </c>
      <c r="X28" s="1" t="str">
        <f>IF(M28&lt;0.2,"Low",
IF(M28&lt;0.4,"Medium","High"))</f>
        <v>Medium</v>
      </c>
      <c r="Y28" s="1" t="str">
        <f>IF(P28&lt;100,"Low",
IF(P28&lt;300,"Medium","High"))</f>
        <v>Low</v>
      </c>
    </row>
    <row r="29" spans="1:25" x14ac:dyDescent="0.3">
      <c r="A29">
        <v>28</v>
      </c>
      <c r="B29" s="2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 t="str">
        <f>VLOOKUP(MasterData[[#This Row],[season]],[1]Lookup!$A$2:$B$5,2,FALSE)</f>
        <v>Spring</v>
      </c>
      <c r="R29" t="str">
        <f>TEXT(DATE(2026,E29,1),"mmmm")</f>
        <v>January</v>
      </c>
      <c r="S29" t="str">
        <f>IF(OR(H29=0,H29=6),"Weekend","Weekday")</f>
        <v>Weekend</v>
      </c>
      <c r="T29" s="1" t="str">
        <f>VLOOKUP(I29,[1]Lookup!$D$2:$E$5,2,FALSE)</f>
        <v>Mist / Cloudy</v>
      </c>
      <c r="U29" s="1" t="str">
        <f>IF(F29&lt;6,"Night",
IF(F29&lt;12,"Morning",
IF(F29&lt;17,"Afternoon",
IF(F29&lt;21,"Evening","Night"))))</f>
        <v>Night</v>
      </c>
      <c r="V29" s="1" t="str">
        <f>IF(J29&lt;0.3,"Cold",
IF(J29&lt;0.6,"Pleasant","Hot"))</f>
        <v>Pleasant</v>
      </c>
      <c r="W29" s="1" t="str">
        <f>IF(L29&lt;0.4,"Low",
IF(L29&lt;0.7,"Medium","High"))</f>
        <v>High</v>
      </c>
      <c r="X29" s="1" t="str">
        <f>IF(M29&lt;0.2,"Low",
IF(M29&lt;0.4,"Medium","High"))</f>
        <v>Low</v>
      </c>
      <c r="Y29" s="1" t="str">
        <f>IF(P29&lt;100,"Low",
IF(P29&lt;300,"Medium","High"))</f>
        <v>Low</v>
      </c>
    </row>
    <row r="30" spans="1:25" x14ac:dyDescent="0.3">
      <c r="A30">
        <v>29</v>
      </c>
      <c r="B30" s="2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  <c r="Q30" t="str">
        <f>VLOOKUP(MasterData[[#This Row],[season]],[1]Lookup!$A$2:$B$5,2,FALSE)</f>
        <v>Spring</v>
      </c>
      <c r="R30" t="str">
        <f>TEXT(DATE(2026,E30,1),"mmmm")</f>
        <v>January</v>
      </c>
      <c r="S30" t="str">
        <f>IF(OR(H30=0,H30=6),"Weekend","Weekday")</f>
        <v>Weekend</v>
      </c>
      <c r="T30" s="1" t="str">
        <f>VLOOKUP(I30,[1]Lookup!$D$2:$E$5,2,FALSE)</f>
        <v>Mist / Cloudy</v>
      </c>
      <c r="U30" s="1" t="str">
        <f>IF(F30&lt;6,"Night",
IF(F30&lt;12,"Morning",
IF(F30&lt;17,"Afternoon",
IF(F30&lt;21,"Evening","Night"))))</f>
        <v>Night</v>
      </c>
      <c r="V30" s="1" t="str">
        <f>IF(J30&lt;0.3,"Cold",
IF(J30&lt;0.6,"Pleasant","Hot"))</f>
        <v>Pleasant</v>
      </c>
      <c r="W30" s="1" t="str">
        <f>IF(L30&lt;0.4,"Low",
IF(L30&lt;0.7,"Medium","High"))</f>
        <v>High</v>
      </c>
      <c r="X30" s="1" t="str">
        <f>IF(M30&lt;0.2,"Low",
IF(M30&lt;0.4,"Medium","High"))</f>
        <v>Low</v>
      </c>
      <c r="Y30" s="1" t="str">
        <f>IF(P30&lt;100,"Low",
IF(P30&lt;300,"Medium","High"))</f>
        <v>Low</v>
      </c>
    </row>
    <row r="31" spans="1:25" x14ac:dyDescent="0.3">
      <c r="A31">
        <v>30</v>
      </c>
      <c r="B31" s="2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 t="str">
        <f>VLOOKUP(MasterData[[#This Row],[season]],[1]Lookup!$A$2:$B$5,2,FALSE)</f>
        <v>Spring</v>
      </c>
      <c r="R31" t="str">
        <f>TEXT(DATE(2026,E31,1),"mmmm")</f>
        <v>January</v>
      </c>
      <c r="S31" t="str">
        <f>IF(OR(H31=0,H31=6),"Weekend","Weekday")</f>
        <v>Weekend</v>
      </c>
      <c r="T31" s="1" t="str">
        <f>VLOOKUP(I31,[1]Lookup!$D$2:$E$5,2,FALSE)</f>
        <v>Light Rain / Snow</v>
      </c>
      <c r="U31" s="1" t="str">
        <f>IF(F31&lt;6,"Night",
IF(F31&lt;12,"Morning",
IF(F31&lt;17,"Afternoon",
IF(F31&lt;21,"Evening","Night"))))</f>
        <v>Morning</v>
      </c>
      <c r="V31" s="1" t="str">
        <f>IF(J31&lt;0.3,"Cold",
IF(J31&lt;0.6,"Pleasant","Hot"))</f>
        <v>Pleasant</v>
      </c>
      <c r="W31" s="1" t="str">
        <f>IF(L31&lt;0.4,"Low",
IF(L31&lt;0.7,"Medium","High"))</f>
        <v>High</v>
      </c>
      <c r="X31" s="1" t="str">
        <f>IF(M31&lt;0.2,"Low",
IF(M31&lt;0.4,"Medium","High"))</f>
        <v>Medium</v>
      </c>
      <c r="Y31" s="1" t="str">
        <f>IF(P31&lt;100,"Low",
IF(P31&lt;300,"Medium","High"))</f>
        <v>Low</v>
      </c>
    </row>
    <row r="32" spans="1:25" x14ac:dyDescent="0.3">
      <c r="A32">
        <v>31</v>
      </c>
      <c r="B32" s="2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 t="str">
        <f>VLOOKUP(MasterData[[#This Row],[season]],[1]Lookup!$A$2:$B$5,2,FALSE)</f>
        <v>Spring</v>
      </c>
      <c r="R32" t="str">
        <f>TEXT(DATE(2026,E32,1),"mmmm")</f>
        <v>January</v>
      </c>
      <c r="S32" t="str">
        <f>IF(OR(H32=0,H32=6),"Weekend","Weekday")</f>
        <v>Weekend</v>
      </c>
      <c r="T32" s="1" t="str">
        <f>VLOOKUP(I32,[1]Lookup!$D$2:$E$5,2,FALSE)</f>
        <v>Mist / Cloudy</v>
      </c>
      <c r="U32" s="1" t="str">
        <f>IF(F32&lt;6,"Night",
IF(F32&lt;12,"Morning",
IF(F32&lt;17,"Afternoon",
IF(F32&lt;21,"Evening","Night"))))</f>
        <v>Morning</v>
      </c>
      <c r="V32" s="1" t="str">
        <f>IF(J32&lt;0.3,"Cold",
IF(J32&lt;0.6,"Pleasant","Hot"))</f>
        <v>Pleasant</v>
      </c>
      <c r="W32" s="1" t="str">
        <f>IF(L32&lt;0.4,"Low",
IF(L32&lt;0.7,"Medium","High"))</f>
        <v>High</v>
      </c>
      <c r="X32" s="1" t="str">
        <f>IF(M32&lt;0.2,"Low",
IF(M32&lt;0.4,"Medium","High"))</f>
        <v>Low</v>
      </c>
      <c r="Y32" s="1" t="str">
        <f>IF(P32&lt;100,"Low",
IF(P32&lt;300,"Medium","High"))</f>
        <v>Low</v>
      </c>
    </row>
    <row r="33" spans="1:25" x14ac:dyDescent="0.3">
      <c r="A33">
        <v>32</v>
      </c>
      <c r="B33" s="2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 t="str">
        <f>VLOOKUP(MasterData[[#This Row],[season]],[1]Lookup!$A$2:$B$5,2,FALSE)</f>
        <v>Spring</v>
      </c>
      <c r="R33" t="str">
        <f>TEXT(DATE(2026,E33,1),"mmmm")</f>
        <v>January</v>
      </c>
      <c r="S33" t="str">
        <f>IF(OR(H33=0,H33=6),"Weekend","Weekday")</f>
        <v>Weekend</v>
      </c>
      <c r="T33" s="1" t="str">
        <f>VLOOKUP(I33,[1]Lookup!$D$2:$E$5,2,FALSE)</f>
        <v>Light Rain / Snow</v>
      </c>
      <c r="U33" s="1" t="str">
        <f>IF(F33&lt;6,"Night",
IF(F33&lt;12,"Morning",
IF(F33&lt;17,"Afternoon",
IF(F33&lt;21,"Evening","Night"))))</f>
        <v>Morning</v>
      </c>
      <c r="V33" s="1" t="str">
        <f>IF(J33&lt;0.3,"Cold",
IF(J33&lt;0.6,"Pleasant","Hot"))</f>
        <v>Pleasant</v>
      </c>
      <c r="W33" s="1" t="str">
        <f>IF(L33&lt;0.4,"Low",
IF(L33&lt;0.7,"Medium","High"))</f>
        <v>High</v>
      </c>
      <c r="X33" s="1" t="str">
        <f>IF(M33&lt;0.2,"Low",
IF(M33&lt;0.4,"Medium","High"))</f>
        <v>Medium</v>
      </c>
      <c r="Y33" s="1" t="str">
        <f>IF(P33&lt;100,"Low",
IF(P33&lt;300,"Medium","High"))</f>
        <v>Low</v>
      </c>
    </row>
    <row r="34" spans="1:25" x14ac:dyDescent="0.3">
      <c r="A34">
        <v>33</v>
      </c>
      <c r="B34" s="2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Q34" t="str">
        <f>VLOOKUP(MasterData[[#This Row],[season]],[1]Lookup!$A$2:$B$5,2,FALSE)</f>
        <v>Spring</v>
      </c>
      <c r="R34" t="str">
        <f>TEXT(DATE(2026,E34,1),"mmmm")</f>
        <v>January</v>
      </c>
      <c r="S34" t="str">
        <f>IF(OR(H34=0,H34=6),"Weekend","Weekday")</f>
        <v>Weekend</v>
      </c>
      <c r="T34" s="1" t="str">
        <f>VLOOKUP(I34,[1]Lookup!$D$2:$E$5,2,FALSE)</f>
        <v>Mist / Cloudy</v>
      </c>
      <c r="U34" s="1" t="str">
        <f>IF(F34&lt;6,"Night",
IF(F34&lt;12,"Morning",
IF(F34&lt;17,"Afternoon",
IF(F34&lt;21,"Evening","Night"))))</f>
        <v>Morning</v>
      </c>
      <c r="V34" s="1" t="str">
        <f>IF(J34&lt;0.3,"Cold",
IF(J34&lt;0.6,"Pleasant","Hot"))</f>
        <v>Pleasant</v>
      </c>
      <c r="W34" s="1" t="str">
        <f>IF(L34&lt;0.4,"Low",
IF(L34&lt;0.7,"Medium","High"))</f>
        <v>High</v>
      </c>
      <c r="X34" s="1" t="str">
        <f>IF(M34&lt;0.2,"Low",
IF(M34&lt;0.4,"Medium","High"))</f>
        <v>Medium</v>
      </c>
      <c r="Y34" s="1" t="str">
        <f>IF(P34&lt;100,"Low",
IF(P34&lt;300,"Medium","High"))</f>
        <v>Low</v>
      </c>
    </row>
    <row r="35" spans="1:25" x14ac:dyDescent="0.3">
      <c r="A35">
        <v>34</v>
      </c>
      <c r="B35" s="2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 t="str">
        <f>VLOOKUP(MasterData[[#This Row],[season]],[1]Lookup!$A$2:$B$5,2,FALSE)</f>
        <v>Spring</v>
      </c>
      <c r="R35" t="str">
        <f>TEXT(DATE(2026,E35,1),"mmmm")</f>
        <v>January</v>
      </c>
      <c r="S35" t="str">
        <f>IF(OR(H35=0,H35=6),"Weekend","Weekday")</f>
        <v>Weekend</v>
      </c>
      <c r="T35" s="1" t="str">
        <f>VLOOKUP(I35,[1]Lookup!$D$2:$E$5,2,FALSE)</f>
        <v>Mist / Cloudy</v>
      </c>
      <c r="U35" s="1" t="str">
        <f>IF(F35&lt;6,"Night",
IF(F35&lt;12,"Morning",
IF(F35&lt;17,"Afternoon",
IF(F35&lt;21,"Evening","Night"))))</f>
        <v>Morning</v>
      </c>
      <c r="V35" s="1" t="str">
        <f>IF(J35&lt;0.3,"Cold",
IF(J35&lt;0.6,"Pleasant","Hot"))</f>
        <v>Pleasant</v>
      </c>
      <c r="W35" s="1" t="str">
        <f>IF(L35&lt;0.4,"Low",
IF(L35&lt;0.7,"Medium","High"))</f>
        <v>High</v>
      </c>
      <c r="X35" s="1" t="str">
        <f>IF(M35&lt;0.2,"Low",
IF(M35&lt;0.4,"Medium","High"))</f>
        <v>Medium</v>
      </c>
      <c r="Y35" s="1" t="str">
        <f>IF(P35&lt;100,"Low",
IF(P35&lt;300,"Medium","High"))</f>
        <v>Low</v>
      </c>
    </row>
    <row r="36" spans="1:25" x14ac:dyDescent="0.3">
      <c r="A36">
        <v>35</v>
      </c>
      <c r="B36" s="2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 t="str">
        <f>VLOOKUP(MasterData[[#This Row],[season]],[1]Lookup!$A$2:$B$5,2,FALSE)</f>
        <v>Spring</v>
      </c>
      <c r="R36" t="str">
        <f>TEXT(DATE(2026,E36,1),"mmmm")</f>
        <v>January</v>
      </c>
      <c r="S36" t="str">
        <f>IF(OR(H36=0,H36=6),"Weekend","Weekday")</f>
        <v>Weekend</v>
      </c>
      <c r="T36" s="1" t="str">
        <f>VLOOKUP(I36,[1]Lookup!$D$2:$E$5,2,FALSE)</f>
        <v>Mist / Cloudy</v>
      </c>
      <c r="U36" s="1" t="str">
        <f>IF(F36&lt;6,"Night",
IF(F36&lt;12,"Morning",
IF(F36&lt;17,"Afternoon",
IF(F36&lt;21,"Evening","Night"))))</f>
        <v>Morning</v>
      </c>
      <c r="V36" s="1" t="str">
        <f>IF(J36&lt;0.3,"Cold",
IF(J36&lt;0.6,"Pleasant","Hot"))</f>
        <v>Pleasant</v>
      </c>
      <c r="W36" s="1" t="str">
        <f>IF(L36&lt;0.4,"Low",
IF(L36&lt;0.7,"Medium","High"))</f>
        <v>High</v>
      </c>
      <c r="X36" s="1" t="str">
        <f>IF(M36&lt;0.2,"Low",
IF(M36&lt;0.4,"Medium","High"))</f>
        <v>Medium</v>
      </c>
      <c r="Y36" s="1" t="str">
        <f>IF(P36&lt;100,"Low",
IF(P36&lt;300,"Medium","High"))</f>
        <v>Low</v>
      </c>
    </row>
    <row r="37" spans="1:25" x14ac:dyDescent="0.3">
      <c r="A37">
        <v>36</v>
      </c>
      <c r="B37" s="2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 t="str">
        <f>VLOOKUP(MasterData[[#This Row],[season]],[1]Lookup!$A$2:$B$5,2,FALSE)</f>
        <v>Spring</v>
      </c>
      <c r="R37" t="str">
        <f>TEXT(DATE(2026,E37,1),"mmmm")</f>
        <v>January</v>
      </c>
      <c r="S37" t="str">
        <f>IF(OR(H37=0,H37=6),"Weekend","Weekday")</f>
        <v>Weekend</v>
      </c>
      <c r="T37" s="1" t="str">
        <f>VLOOKUP(I37,[1]Lookup!$D$2:$E$5,2,FALSE)</f>
        <v>Mist / Cloudy</v>
      </c>
      <c r="U37" s="1" t="str">
        <f>IF(F37&lt;6,"Night",
IF(F37&lt;12,"Morning",
IF(F37&lt;17,"Afternoon",
IF(F37&lt;21,"Evening","Night"))))</f>
        <v>Afternoon</v>
      </c>
      <c r="V37" s="1" t="str">
        <f>IF(J37&lt;0.3,"Cold",
IF(J37&lt;0.6,"Pleasant","Hot"))</f>
        <v>Pleasant</v>
      </c>
      <c r="W37" s="1" t="str">
        <f>IF(L37&lt;0.4,"Low",
IF(L37&lt;0.7,"Medium","High"))</f>
        <v>Medium</v>
      </c>
      <c r="X37" s="1" t="str">
        <f>IF(M37&lt;0.2,"Low",
IF(M37&lt;0.4,"Medium","High"))</f>
        <v>Medium</v>
      </c>
      <c r="Y37" s="1" t="str">
        <f>IF(P37&lt;100,"Low",
IF(P37&lt;300,"Medium","High"))</f>
        <v>Low</v>
      </c>
    </row>
    <row r="38" spans="1:25" x14ac:dyDescent="0.3">
      <c r="A38">
        <v>37</v>
      </c>
      <c r="B38" s="2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  <c r="Q38" t="str">
        <f>VLOOKUP(MasterData[[#This Row],[season]],[1]Lookup!$A$2:$B$5,2,FALSE)</f>
        <v>Spring</v>
      </c>
      <c r="R38" t="str">
        <f>TEXT(DATE(2026,E38,1),"mmmm")</f>
        <v>January</v>
      </c>
      <c r="S38" t="str">
        <f>IF(OR(H38=0,H38=6),"Weekend","Weekday")</f>
        <v>Weekend</v>
      </c>
      <c r="T38" s="1" t="str">
        <f>VLOOKUP(I38,[1]Lookup!$D$2:$E$5,2,FALSE)</f>
        <v>Mist / Cloudy</v>
      </c>
      <c r="U38" s="1" t="str">
        <f>IF(F38&lt;6,"Night",
IF(F38&lt;12,"Morning",
IF(F38&lt;17,"Afternoon",
IF(F38&lt;21,"Evening","Night"))))</f>
        <v>Afternoon</v>
      </c>
      <c r="V38" s="1" t="str">
        <f>IF(J38&lt;0.3,"Cold",
IF(J38&lt;0.6,"Pleasant","Hot"))</f>
        <v>Pleasant</v>
      </c>
      <c r="W38" s="1" t="str">
        <f>IF(L38&lt;0.4,"Low",
IF(L38&lt;0.7,"Medium","High"))</f>
        <v>Medium</v>
      </c>
      <c r="X38" s="1" t="str">
        <f>IF(M38&lt;0.2,"Low",
IF(M38&lt;0.4,"Medium","High"))</f>
        <v>Low</v>
      </c>
      <c r="Y38" s="1" t="str">
        <f>IF(P38&lt;100,"Low",
IF(P38&lt;300,"Medium","High"))</f>
        <v>Low</v>
      </c>
    </row>
    <row r="39" spans="1:25" x14ac:dyDescent="0.3">
      <c r="A39">
        <v>38</v>
      </c>
      <c r="B39" s="2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Q39" t="str">
        <f>VLOOKUP(MasterData[[#This Row],[season]],[1]Lookup!$A$2:$B$5,2,FALSE)</f>
        <v>Spring</v>
      </c>
      <c r="R39" t="str">
        <f>TEXT(DATE(2026,E39,1),"mmmm")</f>
        <v>January</v>
      </c>
      <c r="S39" t="str">
        <f>IF(OR(H39=0,H39=6),"Weekend","Weekday")</f>
        <v>Weekend</v>
      </c>
      <c r="T39" s="1" t="str">
        <f>VLOOKUP(I39,[1]Lookup!$D$2:$E$5,2,FALSE)</f>
        <v>Light Rain / Snow</v>
      </c>
      <c r="U39" s="1" t="str">
        <f>IF(F39&lt;6,"Night",
IF(F39&lt;12,"Morning",
IF(F39&lt;17,"Afternoon",
IF(F39&lt;21,"Evening","Night"))))</f>
        <v>Afternoon</v>
      </c>
      <c r="V39" s="1" t="str">
        <f>IF(J39&lt;0.3,"Cold",
IF(J39&lt;0.6,"Pleasant","Hot"))</f>
        <v>Pleasant</v>
      </c>
      <c r="W39" s="1" t="str">
        <f>IF(L39&lt;0.4,"Low",
IF(L39&lt;0.7,"Medium","High"))</f>
        <v>High</v>
      </c>
      <c r="X39" s="1" t="str">
        <f>IF(M39&lt;0.2,"Low",
IF(M39&lt;0.4,"Medium","High"))</f>
        <v>Low</v>
      </c>
      <c r="Y39" s="1" t="str">
        <f>IF(P39&lt;100,"Low",
IF(P39&lt;300,"Medium","High"))</f>
        <v>Low</v>
      </c>
    </row>
    <row r="40" spans="1:25" x14ac:dyDescent="0.3">
      <c r="A40">
        <v>39</v>
      </c>
      <c r="B40" s="2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 t="str">
        <f>VLOOKUP(MasterData[[#This Row],[season]],[1]Lookup!$A$2:$B$5,2,FALSE)</f>
        <v>Spring</v>
      </c>
      <c r="R40" t="str">
        <f>TEXT(DATE(2026,E40,1),"mmmm")</f>
        <v>January</v>
      </c>
      <c r="S40" t="str">
        <f>IF(OR(H40=0,H40=6),"Weekend","Weekday")</f>
        <v>Weekend</v>
      </c>
      <c r="T40" s="1" t="str">
        <f>VLOOKUP(I40,[1]Lookup!$D$2:$E$5,2,FALSE)</f>
        <v>Light Rain / Snow</v>
      </c>
      <c r="U40" s="1" t="str">
        <f>IF(F40&lt;6,"Night",
IF(F40&lt;12,"Morning",
IF(F40&lt;17,"Afternoon",
IF(F40&lt;21,"Evening","Night"))))</f>
        <v>Afternoon</v>
      </c>
      <c r="V40" s="1" t="str">
        <f>IF(J40&lt;0.3,"Cold",
IF(J40&lt;0.6,"Pleasant","Hot"))</f>
        <v>Pleasant</v>
      </c>
      <c r="W40" s="1" t="str">
        <f>IF(L40&lt;0.4,"Low",
IF(L40&lt;0.7,"Medium","High"))</f>
        <v>High</v>
      </c>
      <c r="X40" s="1" t="str">
        <f>IF(M40&lt;0.2,"Low",
IF(M40&lt;0.4,"Medium","High"))</f>
        <v>Low</v>
      </c>
      <c r="Y40" s="1" t="str">
        <f>IF(P40&lt;100,"Low",
IF(P40&lt;300,"Medium","High"))</f>
        <v>Low</v>
      </c>
    </row>
    <row r="41" spans="1:25" x14ac:dyDescent="0.3">
      <c r="A41">
        <v>40</v>
      </c>
      <c r="B41" s="2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 t="str">
        <f>VLOOKUP(MasterData[[#This Row],[season]],[1]Lookup!$A$2:$B$5,2,FALSE)</f>
        <v>Spring</v>
      </c>
      <c r="R41" t="str">
        <f>TEXT(DATE(2026,E41,1),"mmmm")</f>
        <v>January</v>
      </c>
      <c r="S41" t="str">
        <f>IF(OR(H41=0,H41=6),"Weekend","Weekday")</f>
        <v>Weekend</v>
      </c>
      <c r="T41" s="1" t="str">
        <f>VLOOKUP(I41,[1]Lookup!$D$2:$E$5,2,FALSE)</f>
        <v>Light Rain / Snow</v>
      </c>
      <c r="U41" s="1" t="str">
        <f>IF(F41&lt;6,"Night",
IF(F41&lt;12,"Morning",
IF(F41&lt;17,"Afternoon",
IF(F41&lt;21,"Evening","Night"))))</f>
        <v>Afternoon</v>
      </c>
      <c r="V41" s="1" t="str">
        <f>IF(J41&lt;0.3,"Cold",
IF(J41&lt;0.6,"Pleasant","Hot"))</f>
        <v>Pleasant</v>
      </c>
      <c r="W41" s="1" t="str">
        <f>IF(L41&lt;0.4,"Low",
IF(L41&lt;0.7,"Medium","High"))</f>
        <v>High</v>
      </c>
      <c r="X41" s="1" t="str">
        <f>IF(M41&lt;0.2,"Low",
IF(M41&lt;0.4,"Medium","High"))</f>
        <v>Low</v>
      </c>
      <c r="Y41" s="1" t="str">
        <f>IF(P41&lt;100,"Low",
IF(P41&lt;300,"Medium","High"))</f>
        <v>Low</v>
      </c>
    </row>
    <row r="42" spans="1:25" x14ac:dyDescent="0.3">
      <c r="A42">
        <v>41</v>
      </c>
      <c r="B42" s="2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 t="str">
        <f>VLOOKUP(MasterData[[#This Row],[season]],[1]Lookup!$A$2:$B$5,2,FALSE)</f>
        <v>Spring</v>
      </c>
      <c r="R42" t="str">
        <f>TEXT(DATE(2026,E42,1),"mmmm")</f>
        <v>January</v>
      </c>
      <c r="S42" t="str">
        <f>IF(OR(H42=0,H42=6),"Weekend","Weekday")</f>
        <v>Weekend</v>
      </c>
      <c r="T42" s="1" t="str">
        <f>VLOOKUP(I42,[1]Lookup!$D$2:$E$5,2,FALSE)</f>
        <v>Clear</v>
      </c>
      <c r="U42" s="1" t="str">
        <f>IF(F42&lt;6,"Night",
IF(F42&lt;12,"Morning",
IF(F42&lt;17,"Afternoon",
IF(F42&lt;21,"Evening","Night"))))</f>
        <v>Evening</v>
      </c>
      <c r="V42" s="1" t="str">
        <f>IF(J42&lt;0.3,"Cold",
IF(J42&lt;0.6,"Pleasant","Hot"))</f>
        <v>Pleasant</v>
      </c>
      <c r="W42" s="1" t="str">
        <f>IF(L42&lt;0.4,"Low",
IF(L42&lt;0.7,"Medium","High"))</f>
        <v>Medium</v>
      </c>
      <c r="X42" s="1" t="str">
        <f>IF(M42&lt;0.2,"Low",
IF(M42&lt;0.4,"Medium","High"))</f>
        <v>Low</v>
      </c>
      <c r="Y42" s="1" t="str">
        <f>IF(P42&lt;100,"Low",
IF(P42&lt;300,"Medium","High"))</f>
        <v>Low</v>
      </c>
    </row>
    <row r="43" spans="1:25" x14ac:dyDescent="0.3">
      <c r="A43">
        <v>42</v>
      </c>
      <c r="B43" s="2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 t="str">
        <f>VLOOKUP(MasterData[[#This Row],[season]],[1]Lookup!$A$2:$B$5,2,FALSE)</f>
        <v>Spring</v>
      </c>
      <c r="R43" t="str">
        <f>TEXT(DATE(2026,E43,1),"mmmm")</f>
        <v>January</v>
      </c>
      <c r="S43" t="str">
        <f>IF(OR(H43=0,H43=6),"Weekend","Weekday")</f>
        <v>Weekend</v>
      </c>
      <c r="T43" s="1" t="str">
        <f>VLOOKUP(I43,[1]Lookup!$D$2:$E$5,2,FALSE)</f>
        <v>Mist / Cloudy</v>
      </c>
      <c r="U43" s="1" t="str">
        <f>IF(F43&lt;6,"Night",
IF(F43&lt;12,"Morning",
IF(F43&lt;17,"Afternoon",
IF(F43&lt;21,"Evening","Night"))))</f>
        <v>Evening</v>
      </c>
      <c r="V43" s="1" t="str">
        <f>IF(J43&lt;0.3,"Cold",
IF(J43&lt;0.6,"Pleasant","Hot"))</f>
        <v>Pleasant</v>
      </c>
      <c r="W43" s="1" t="str">
        <f>IF(L43&lt;0.4,"Low",
IF(L43&lt;0.7,"Medium","High"))</f>
        <v>Medium</v>
      </c>
      <c r="X43" s="1" t="str">
        <f>IF(M43&lt;0.2,"Low",
IF(M43&lt;0.4,"Medium","High"))</f>
        <v>Medium</v>
      </c>
      <c r="Y43" s="1" t="str">
        <f>IF(P43&lt;100,"Low",
IF(P43&lt;300,"Medium","High"))</f>
        <v>Low</v>
      </c>
    </row>
    <row r="44" spans="1:25" x14ac:dyDescent="0.3">
      <c r="A44">
        <v>43</v>
      </c>
      <c r="B44" s="2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 t="str">
        <f>VLOOKUP(MasterData[[#This Row],[season]],[1]Lookup!$A$2:$B$5,2,FALSE)</f>
        <v>Spring</v>
      </c>
      <c r="R44" t="str">
        <f>TEXT(DATE(2026,E44,1),"mmmm")</f>
        <v>January</v>
      </c>
      <c r="S44" t="str">
        <f>IF(OR(H44=0,H44=6),"Weekend","Weekday")</f>
        <v>Weekend</v>
      </c>
      <c r="T44" s="1" t="str">
        <f>VLOOKUP(I44,[1]Lookup!$D$2:$E$5,2,FALSE)</f>
        <v>Clear</v>
      </c>
      <c r="U44" s="1" t="str">
        <f>IF(F44&lt;6,"Night",
IF(F44&lt;12,"Morning",
IF(F44&lt;17,"Afternoon",
IF(F44&lt;21,"Evening","Night"))))</f>
        <v>Evening</v>
      </c>
      <c r="V44" s="1" t="str">
        <f>IF(J44&lt;0.3,"Cold",
IF(J44&lt;0.6,"Pleasant","Hot"))</f>
        <v>Pleasant</v>
      </c>
      <c r="W44" s="1" t="str">
        <f>IF(L44&lt;0.4,"Low",
IF(L44&lt;0.7,"Medium","High"))</f>
        <v>Medium</v>
      </c>
      <c r="X44" s="1" t="str">
        <f>IF(M44&lt;0.2,"Low",
IF(M44&lt;0.4,"Medium","High"))</f>
        <v>High</v>
      </c>
      <c r="Y44" s="1" t="str">
        <f>IF(P44&lt;100,"Low",
IF(P44&lt;300,"Medium","High"))</f>
        <v>Low</v>
      </c>
    </row>
    <row r="45" spans="1:25" x14ac:dyDescent="0.3">
      <c r="A45">
        <v>44</v>
      </c>
      <c r="B45" s="2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Q45" t="str">
        <f>VLOOKUP(MasterData[[#This Row],[season]],[1]Lookup!$A$2:$B$5,2,FALSE)</f>
        <v>Spring</v>
      </c>
      <c r="R45" t="str">
        <f>TEXT(DATE(2026,E45,1),"mmmm")</f>
        <v>January</v>
      </c>
      <c r="S45" t="str">
        <f>IF(OR(H45=0,H45=6),"Weekend","Weekday")</f>
        <v>Weekend</v>
      </c>
      <c r="T45" s="1" t="str">
        <f>VLOOKUP(I45,[1]Lookup!$D$2:$E$5,2,FALSE)</f>
        <v>Clear</v>
      </c>
      <c r="U45" s="1" t="str">
        <f>IF(F45&lt;6,"Night",
IF(F45&lt;12,"Morning",
IF(F45&lt;17,"Afternoon",
IF(F45&lt;21,"Evening","Night"))))</f>
        <v>Evening</v>
      </c>
      <c r="V45" s="1" t="str">
        <f>IF(J45&lt;0.3,"Cold",
IF(J45&lt;0.6,"Pleasant","Hot"))</f>
        <v>Pleasant</v>
      </c>
      <c r="W45" s="1" t="str">
        <f>IF(L45&lt;0.4,"Low",
IF(L45&lt;0.7,"Medium","High"))</f>
        <v>Low</v>
      </c>
      <c r="X45" s="1" t="str">
        <f>IF(M45&lt;0.2,"Low",
IF(M45&lt;0.4,"Medium","High"))</f>
        <v>Medium</v>
      </c>
      <c r="Y45" s="1" t="str">
        <f>IF(P45&lt;100,"Low",
IF(P45&lt;300,"Medium","High"))</f>
        <v>Low</v>
      </c>
    </row>
    <row r="46" spans="1:25" x14ac:dyDescent="0.3">
      <c r="A46">
        <v>45</v>
      </c>
      <c r="B46" s="2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 t="str">
        <f>VLOOKUP(MasterData[[#This Row],[season]],[1]Lookup!$A$2:$B$5,2,FALSE)</f>
        <v>Spring</v>
      </c>
      <c r="R46" t="str">
        <f>TEXT(DATE(2026,E46,1),"mmmm")</f>
        <v>January</v>
      </c>
      <c r="S46" t="str">
        <f>IF(OR(H46=0,H46=6),"Weekend","Weekday")</f>
        <v>Weekend</v>
      </c>
      <c r="T46" s="1" t="str">
        <f>VLOOKUP(I46,[1]Lookup!$D$2:$E$5,2,FALSE)</f>
        <v>Clear</v>
      </c>
      <c r="U46" s="1" t="str">
        <f>IF(F46&lt;6,"Night",
IF(F46&lt;12,"Morning",
IF(F46&lt;17,"Afternoon",
IF(F46&lt;21,"Evening","Night"))))</f>
        <v>Night</v>
      </c>
      <c r="V46" s="1" t="str">
        <f>IF(J46&lt;0.3,"Cold",
IF(J46&lt;0.6,"Pleasant","Hot"))</f>
        <v>Cold</v>
      </c>
      <c r="W46" s="1" t="str">
        <f>IF(L46&lt;0.4,"Low",
IF(L46&lt;0.7,"Medium","High"))</f>
        <v>Medium</v>
      </c>
      <c r="X46" s="1" t="str">
        <f>IF(M46&lt;0.2,"Low",
IF(M46&lt;0.4,"Medium","High"))</f>
        <v>Medium</v>
      </c>
      <c r="Y46" s="1" t="str">
        <f>IF(P46&lt;100,"Low",
IF(P46&lt;300,"Medium","High"))</f>
        <v>Low</v>
      </c>
    </row>
    <row r="47" spans="1:25" x14ac:dyDescent="0.3">
      <c r="A47">
        <v>46</v>
      </c>
      <c r="B47" s="2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 t="str">
        <f>VLOOKUP(MasterData[[#This Row],[season]],[1]Lookup!$A$2:$B$5,2,FALSE)</f>
        <v>Spring</v>
      </c>
      <c r="R47" t="str">
        <f>TEXT(DATE(2026,E47,1),"mmmm")</f>
        <v>January</v>
      </c>
      <c r="S47" t="str">
        <f>IF(OR(H47=0,H47=6),"Weekend","Weekday")</f>
        <v>Weekend</v>
      </c>
      <c r="T47" s="1" t="str">
        <f>VLOOKUP(I47,[1]Lookup!$D$2:$E$5,2,FALSE)</f>
        <v>Clear</v>
      </c>
      <c r="U47" s="1" t="str">
        <f>IF(F47&lt;6,"Night",
IF(F47&lt;12,"Morning",
IF(F47&lt;17,"Afternoon",
IF(F47&lt;21,"Evening","Night"))))</f>
        <v>Night</v>
      </c>
      <c r="V47" s="1" t="str">
        <f>IF(J47&lt;0.3,"Cold",
IF(J47&lt;0.6,"Pleasant","Hot"))</f>
        <v>Cold</v>
      </c>
      <c r="W47" s="1" t="str">
        <f>IF(L47&lt;0.4,"Low",
IF(L47&lt;0.7,"Medium","High"))</f>
        <v>Medium</v>
      </c>
      <c r="X47" s="1" t="str">
        <f>IF(M47&lt;0.2,"Low",
IF(M47&lt;0.4,"Medium","High"))</f>
        <v>Medium</v>
      </c>
      <c r="Y47" s="1" t="str">
        <f>IF(P47&lt;100,"Low",
IF(P47&lt;300,"Medium","High"))</f>
        <v>Low</v>
      </c>
    </row>
    <row r="48" spans="1:25" x14ac:dyDescent="0.3">
      <c r="A48">
        <v>47</v>
      </c>
      <c r="B48" s="2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 t="str">
        <f>VLOOKUP(MasterData[[#This Row],[season]],[1]Lookup!$A$2:$B$5,2,FALSE)</f>
        <v>Spring</v>
      </c>
      <c r="R48" t="str">
        <f>TEXT(DATE(2026,E48,1),"mmmm")</f>
        <v>January</v>
      </c>
      <c r="S48" t="str">
        <f>IF(OR(H48=0,H48=6),"Weekend","Weekday")</f>
        <v>Weekend</v>
      </c>
      <c r="T48" s="1" t="str">
        <f>VLOOKUP(I48,[1]Lookup!$D$2:$E$5,2,FALSE)</f>
        <v>Clear</v>
      </c>
      <c r="U48" s="1" t="str">
        <f>IF(F48&lt;6,"Night",
IF(F48&lt;12,"Morning",
IF(F48&lt;17,"Afternoon",
IF(F48&lt;21,"Evening","Night"))))</f>
        <v>Night</v>
      </c>
      <c r="V48" s="1" t="str">
        <f>IF(J48&lt;0.3,"Cold",
IF(J48&lt;0.6,"Pleasant","Hot"))</f>
        <v>Cold</v>
      </c>
      <c r="W48" s="1" t="str">
        <f>IF(L48&lt;0.4,"Low",
IF(L48&lt;0.7,"Medium","High"))</f>
        <v>Medium</v>
      </c>
      <c r="X48" s="1" t="str">
        <f>IF(M48&lt;0.2,"Low",
IF(M48&lt;0.4,"Medium","High"))</f>
        <v>Low</v>
      </c>
      <c r="Y48" s="1" t="str">
        <f>IF(P48&lt;100,"Low",
IF(P48&lt;300,"Medium","High"))</f>
        <v>Low</v>
      </c>
    </row>
    <row r="49" spans="1:25" x14ac:dyDescent="0.3">
      <c r="A49">
        <v>48</v>
      </c>
      <c r="B49" s="2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 t="str">
        <f>VLOOKUP(MasterData[[#This Row],[season]],[1]Lookup!$A$2:$B$5,2,FALSE)</f>
        <v>Spring</v>
      </c>
      <c r="R49" t="str">
        <f>TEXT(DATE(2026,E49,1),"mmmm")</f>
        <v>January</v>
      </c>
      <c r="S49" t="str">
        <f>IF(OR(H49=0,H49=6),"Weekend","Weekday")</f>
        <v>Weekday</v>
      </c>
      <c r="T49" s="1" t="str">
        <f>VLOOKUP(I49,[1]Lookup!$D$2:$E$5,2,FALSE)</f>
        <v>Clear</v>
      </c>
      <c r="U49" s="1" t="str">
        <f>IF(F49&lt;6,"Night",
IF(F49&lt;12,"Morning",
IF(F49&lt;17,"Afternoon",
IF(F49&lt;21,"Evening","Night"))))</f>
        <v>Night</v>
      </c>
      <c r="V49" s="1" t="str">
        <f>IF(J49&lt;0.3,"Cold",
IF(J49&lt;0.6,"Pleasant","Hot"))</f>
        <v>Cold</v>
      </c>
      <c r="W49" s="1" t="str">
        <f>IF(L49&lt;0.4,"Low",
IF(L49&lt;0.7,"Medium","High"))</f>
        <v>Medium</v>
      </c>
      <c r="X49" s="1" t="str">
        <f>IF(M49&lt;0.2,"Low",
IF(M49&lt;0.4,"Medium","High"))</f>
        <v>Medium</v>
      </c>
      <c r="Y49" s="1" t="str">
        <f>IF(P49&lt;100,"Low",
IF(P49&lt;300,"Medium","High"))</f>
        <v>Low</v>
      </c>
    </row>
    <row r="50" spans="1:25" x14ac:dyDescent="0.3">
      <c r="A50">
        <v>49</v>
      </c>
      <c r="B50" s="2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  <c r="Q50" t="str">
        <f>VLOOKUP(MasterData[[#This Row],[season]],[1]Lookup!$A$2:$B$5,2,FALSE)</f>
        <v>Spring</v>
      </c>
      <c r="R50" t="str">
        <f>TEXT(DATE(2026,E50,1),"mmmm")</f>
        <v>January</v>
      </c>
      <c r="S50" t="str">
        <f>IF(OR(H50=0,H50=6),"Weekend","Weekday")</f>
        <v>Weekday</v>
      </c>
      <c r="T50" s="1" t="str">
        <f>VLOOKUP(I50,[1]Lookup!$D$2:$E$5,2,FALSE)</f>
        <v>Clear</v>
      </c>
      <c r="U50" s="1" t="str">
        <f>IF(F50&lt;6,"Night",
IF(F50&lt;12,"Morning",
IF(F50&lt;17,"Afternoon",
IF(F50&lt;21,"Evening","Night"))))</f>
        <v>Night</v>
      </c>
      <c r="V50" s="1" t="str">
        <f>IF(J50&lt;0.3,"Cold",
IF(J50&lt;0.6,"Pleasant","Hot"))</f>
        <v>Cold</v>
      </c>
      <c r="W50" s="1" t="str">
        <f>IF(L50&lt;0.4,"Low",
IF(L50&lt;0.7,"Medium","High"))</f>
        <v>Medium</v>
      </c>
      <c r="X50" s="1" t="str">
        <f>IF(M50&lt;0.2,"Low",
IF(M50&lt;0.4,"Medium","High"))</f>
        <v>High</v>
      </c>
      <c r="Y50" s="1" t="str">
        <f>IF(P50&lt;100,"Low",
IF(P50&lt;300,"Medium","High"))</f>
        <v>Low</v>
      </c>
    </row>
    <row r="51" spans="1:25" x14ac:dyDescent="0.3">
      <c r="A51">
        <v>50</v>
      </c>
      <c r="B51" s="2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 t="str">
        <f>VLOOKUP(MasterData[[#This Row],[season]],[1]Lookup!$A$2:$B$5,2,FALSE)</f>
        <v>Spring</v>
      </c>
      <c r="R51" t="str">
        <f>TEXT(DATE(2026,E51,1),"mmmm")</f>
        <v>January</v>
      </c>
      <c r="S51" t="str">
        <f>IF(OR(H51=0,H51=6),"Weekend","Weekday")</f>
        <v>Weekday</v>
      </c>
      <c r="T51" s="1" t="str">
        <f>VLOOKUP(I51,[1]Lookup!$D$2:$E$5,2,FALSE)</f>
        <v>Clear</v>
      </c>
      <c r="U51" s="1" t="str">
        <f>IF(F51&lt;6,"Night",
IF(F51&lt;12,"Morning",
IF(F51&lt;17,"Afternoon",
IF(F51&lt;21,"Evening","Night"))))</f>
        <v>Night</v>
      </c>
      <c r="V51" s="1" t="str">
        <f>IF(J51&lt;0.3,"Cold",
IF(J51&lt;0.6,"Pleasant","Hot"))</f>
        <v>Cold</v>
      </c>
      <c r="W51" s="1" t="str">
        <f>IF(L51&lt;0.4,"Low",
IF(L51&lt;0.7,"Medium","High"))</f>
        <v>Medium</v>
      </c>
      <c r="X51" s="1" t="str">
        <f>IF(M51&lt;0.2,"Low",
IF(M51&lt;0.4,"Medium","High"))</f>
        <v>Medium</v>
      </c>
      <c r="Y51" s="1" t="str">
        <f>IF(P51&lt;100,"Low",
IF(P51&lt;300,"Medium","High"))</f>
        <v>Low</v>
      </c>
    </row>
    <row r="52" spans="1:25" x14ac:dyDescent="0.3">
      <c r="A52">
        <v>51</v>
      </c>
      <c r="B52" s="2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 t="str">
        <f>VLOOKUP(MasterData[[#This Row],[season]],[1]Lookup!$A$2:$B$5,2,FALSE)</f>
        <v>Spring</v>
      </c>
      <c r="R52" t="str">
        <f>TEXT(DATE(2026,E52,1),"mmmm")</f>
        <v>January</v>
      </c>
      <c r="S52" t="str">
        <f>IF(OR(H52=0,H52=6),"Weekend","Weekday")</f>
        <v>Weekday</v>
      </c>
      <c r="T52" s="1" t="str">
        <f>VLOOKUP(I52,[1]Lookup!$D$2:$E$5,2,FALSE)</f>
        <v>Clear</v>
      </c>
      <c r="U52" s="1" t="str">
        <f>IF(F52&lt;6,"Night",
IF(F52&lt;12,"Morning",
IF(F52&lt;17,"Afternoon",
IF(F52&lt;21,"Evening","Night"))))</f>
        <v>Night</v>
      </c>
      <c r="V52" s="1" t="str">
        <f>IF(J52&lt;0.3,"Cold",
IF(J52&lt;0.6,"Pleasant","Hot"))</f>
        <v>Cold</v>
      </c>
      <c r="W52" s="1" t="str">
        <f>IF(L52&lt;0.4,"Low",
IF(L52&lt;0.7,"Medium","High"))</f>
        <v>Medium</v>
      </c>
      <c r="X52" s="1" t="str">
        <f>IF(M52&lt;0.2,"Low",
IF(M52&lt;0.4,"Medium","High"))</f>
        <v>Medium</v>
      </c>
      <c r="Y52" s="1" t="str">
        <f>IF(P52&lt;100,"Low",
IF(P52&lt;300,"Medium","High"))</f>
        <v>Low</v>
      </c>
    </row>
    <row r="53" spans="1:25" x14ac:dyDescent="0.3">
      <c r="A53">
        <v>52</v>
      </c>
      <c r="B53" s="2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  <c r="Q53" t="str">
        <f>VLOOKUP(MasterData[[#This Row],[season]],[1]Lookup!$A$2:$B$5,2,FALSE)</f>
        <v>Spring</v>
      </c>
      <c r="R53" t="str">
        <f>TEXT(DATE(2026,E53,1),"mmmm")</f>
        <v>January</v>
      </c>
      <c r="S53" t="str">
        <f>IF(OR(H53=0,H53=6),"Weekend","Weekday")</f>
        <v>Weekday</v>
      </c>
      <c r="T53" s="1" t="str">
        <f>VLOOKUP(I53,[1]Lookup!$D$2:$E$5,2,FALSE)</f>
        <v>Clear</v>
      </c>
      <c r="U53" s="1" t="str">
        <f>IF(F53&lt;6,"Night",
IF(F53&lt;12,"Morning",
IF(F53&lt;17,"Afternoon",
IF(F53&lt;21,"Evening","Night"))))</f>
        <v>Morning</v>
      </c>
      <c r="V53" s="1" t="str">
        <f>IF(J53&lt;0.3,"Cold",
IF(J53&lt;0.6,"Pleasant","Hot"))</f>
        <v>Cold</v>
      </c>
      <c r="W53" s="1" t="str">
        <f>IF(L53&lt;0.4,"Low",
IF(L53&lt;0.7,"Medium","High"))</f>
        <v>Medium</v>
      </c>
      <c r="X53" s="1" t="str">
        <f>IF(M53&lt;0.2,"Low",
IF(M53&lt;0.4,"Medium","High"))</f>
        <v>Medium</v>
      </c>
      <c r="Y53" s="1" t="str">
        <f>IF(P53&lt;100,"Low",
IF(P53&lt;300,"Medium","High"))</f>
        <v>Low</v>
      </c>
    </row>
    <row r="54" spans="1:25" x14ac:dyDescent="0.3">
      <c r="A54">
        <v>53</v>
      </c>
      <c r="B54" s="2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 t="str">
        <f>VLOOKUP(MasterData[[#This Row],[season]],[1]Lookup!$A$2:$B$5,2,FALSE)</f>
        <v>Spring</v>
      </c>
      <c r="R54" t="str">
        <f>TEXT(DATE(2026,E54,1),"mmmm")</f>
        <v>January</v>
      </c>
      <c r="S54" t="str">
        <f>IF(OR(H54=0,H54=6),"Weekend","Weekday")</f>
        <v>Weekday</v>
      </c>
      <c r="T54" s="1" t="str">
        <f>VLOOKUP(I54,[1]Lookup!$D$2:$E$5,2,FALSE)</f>
        <v>Clear</v>
      </c>
      <c r="U54" s="1" t="str">
        <f>IF(F54&lt;6,"Night",
IF(F54&lt;12,"Morning",
IF(F54&lt;17,"Afternoon",
IF(F54&lt;21,"Evening","Night"))))</f>
        <v>Morning</v>
      </c>
      <c r="V54" s="1" t="str">
        <f>IF(J54&lt;0.3,"Cold",
IF(J54&lt;0.6,"Pleasant","Hot"))</f>
        <v>Cold</v>
      </c>
      <c r="W54" s="1" t="str">
        <f>IF(L54&lt;0.4,"Low",
IF(L54&lt;0.7,"Medium","High"))</f>
        <v>Medium</v>
      </c>
      <c r="X54" s="1" t="str">
        <f>IF(M54&lt;0.2,"Low",
IF(M54&lt;0.4,"Medium","High"))</f>
        <v>Low</v>
      </c>
      <c r="Y54" s="1" t="str">
        <f>IF(P54&lt;100,"Low",
IF(P54&lt;300,"Medium","High"))</f>
        <v>Low</v>
      </c>
    </row>
    <row r="55" spans="1:25" x14ac:dyDescent="0.3">
      <c r="A55">
        <v>54</v>
      </c>
      <c r="B55" s="2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 t="str">
        <f>VLOOKUP(MasterData[[#This Row],[season]],[1]Lookup!$A$2:$B$5,2,FALSE)</f>
        <v>Spring</v>
      </c>
      <c r="R55" t="str">
        <f>TEXT(DATE(2026,E55,1),"mmmm")</f>
        <v>January</v>
      </c>
      <c r="S55" t="str">
        <f>IF(OR(H55=0,H55=6),"Weekend","Weekday")</f>
        <v>Weekday</v>
      </c>
      <c r="T55" s="1" t="str">
        <f>VLOOKUP(I55,[1]Lookup!$D$2:$E$5,2,FALSE)</f>
        <v>Clear</v>
      </c>
      <c r="U55" s="1" t="str">
        <f>IF(F55&lt;6,"Night",
IF(F55&lt;12,"Morning",
IF(F55&lt;17,"Afternoon",
IF(F55&lt;21,"Evening","Night"))))</f>
        <v>Morning</v>
      </c>
      <c r="V55" s="1" t="str">
        <f>IF(J55&lt;0.3,"Cold",
IF(J55&lt;0.6,"Pleasant","Hot"))</f>
        <v>Cold</v>
      </c>
      <c r="W55" s="1" t="str">
        <f>IF(L55&lt;0.4,"Low",
IF(L55&lt;0.7,"Medium","High"))</f>
        <v>Medium</v>
      </c>
      <c r="X55" s="1" t="str">
        <f>IF(M55&lt;0.2,"Low",
IF(M55&lt;0.4,"Medium","High"))</f>
        <v>Medium</v>
      </c>
      <c r="Y55" s="1" t="str">
        <f>IF(P55&lt;100,"Low",
IF(P55&lt;300,"Medium","High"))</f>
        <v>Medium</v>
      </c>
    </row>
    <row r="56" spans="1:25" x14ac:dyDescent="0.3">
      <c r="A56">
        <v>55</v>
      </c>
      <c r="B56" s="2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 t="str">
        <f>VLOOKUP(MasterData[[#This Row],[season]],[1]Lookup!$A$2:$B$5,2,FALSE)</f>
        <v>Spring</v>
      </c>
      <c r="R56" t="str">
        <f>TEXT(DATE(2026,E56,1),"mmmm")</f>
        <v>January</v>
      </c>
      <c r="S56" t="str">
        <f>IF(OR(H56=0,H56=6),"Weekend","Weekday")</f>
        <v>Weekday</v>
      </c>
      <c r="T56" s="1" t="str">
        <f>VLOOKUP(I56,[1]Lookup!$D$2:$E$5,2,FALSE)</f>
        <v>Clear</v>
      </c>
      <c r="U56" s="1" t="str">
        <f>IF(F56&lt;6,"Night",
IF(F56&lt;12,"Morning",
IF(F56&lt;17,"Afternoon",
IF(F56&lt;21,"Evening","Night"))))</f>
        <v>Morning</v>
      </c>
      <c r="V56" s="1" t="str">
        <f>IF(J56&lt;0.3,"Cold",
IF(J56&lt;0.6,"Pleasant","Hot"))</f>
        <v>Cold</v>
      </c>
      <c r="W56" s="1" t="str">
        <f>IF(L56&lt;0.4,"Low",
IF(L56&lt;0.7,"Medium","High"))</f>
        <v>Medium</v>
      </c>
      <c r="X56" s="1" t="str">
        <f>IF(M56&lt;0.2,"Low",
IF(M56&lt;0.4,"Medium","High"))</f>
        <v>Medium</v>
      </c>
      <c r="Y56" s="1" t="str">
        <f>IF(P56&lt;100,"Low",
IF(P56&lt;300,"Medium","High"))</f>
        <v>Low</v>
      </c>
    </row>
    <row r="57" spans="1:25" x14ac:dyDescent="0.3">
      <c r="A57">
        <v>56</v>
      </c>
      <c r="B57" s="2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 t="str">
        <f>VLOOKUP(MasterData[[#This Row],[season]],[1]Lookup!$A$2:$B$5,2,FALSE)</f>
        <v>Spring</v>
      </c>
      <c r="R57" t="str">
        <f>TEXT(DATE(2026,E57,1),"mmmm")</f>
        <v>January</v>
      </c>
      <c r="S57" t="str">
        <f>IF(OR(H57=0,H57=6),"Weekend","Weekday")</f>
        <v>Weekday</v>
      </c>
      <c r="T57" s="1" t="str">
        <f>VLOOKUP(I57,[1]Lookup!$D$2:$E$5,2,FALSE)</f>
        <v>Clear</v>
      </c>
      <c r="U57" s="1" t="str">
        <f>IF(F57&lt;6,"Night",
IF(F57&lt;12,"Morning",
IF(F57&lt;17,"Afternoon",
IF(F57&lt;21,"Evening","Night"))))</f>
        <v>Morning</v>
      </c>
      <c r="V57" s="1" t="str">
        <f>IF(J57&lt;0.3,"Cold",
IF(J57&lt;0.6,"Pleasant","Hot"))</f>
        <v>Cold</v>
      </c>
      <c r="W57" s="1" t="str">
        <f>IF(L57&lt;0.4,"Low",
IF(L57&lt;0.7,"Medium","High"))</f>
        <v>Medium</v>
      </c>
      <c r="X57" s="1" t="str">
        <f>IF(M57&lt;0.2,"Low",
IF(M57&lt;0.4,"Medium","High"))</f>
        <v>Medium</v>
      </c>
      <c r="Y57" s="1" t="str">
        <f>IF(P57&lt;100,"Low",
IF(P57&lt;300,"Medium","High"))</f>
        <v>Low</v>
      </c>
    </row>
    <row r="58" spans="1:25" x14ac:dyDescent="0.3">
      <c r="A58">
        <v>57</v>
      </c>
      <c r="B58" s="2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 t="str">
        <f>VLOOKUP(MasterData[[#This Row],[season]],[1]Lookup!$A$2:$B$5,2,FALSE)</f>
        <v>Spring</v>
      </c>
      <c r="R58" t="str">
        <f>TEXT(DATE(2026,E58,1),"mmmm")</f>
        <v>January</v>
      </c>
      <c r="S58" t="str">
        <f>IF(OR(H58=0,H58=6),"Weekend","Weekday")</f>
        <v>Weekday</v>
      </c>
      <c r="T58" s="1" t="str">
        <f>VLOOKUP(I58,[1]Lookup!$D$2:$E$5,2,FALSE)</f>
        <v>Clear</v>
      </c>
      <c r="U58" s="1" t="str">
        <f>IF(F58&lt;6,"Night",
IF(F58&lt;12,"Morning",
IF(F58&lt;17,"Afternoon",
IF(F58&lt;21,"Evening","Night"))))</f>
        <v>Morning</v>
      </c>
      <c r="V58" s="1" t="str">
        <f>IF(J58&lt;0.3,"Cold",
IF(J58&lt;0.6,"Pleasant","Hot"))</f>
        <v>Cold</v>
      </c>
      <c r="W58" s="1" t="str">
        <f>IF(L58&lt;0.4,"Low",
IF(L58&lt;0.7,"Medium","High"))</f>
        <v>Medium</v>
      </c>
      <c r="X58" s="1" t="str">
        <f>IF(M58&lt;0.2,"Low",
IF(M58&lt;0.4,"Medium","High"))</f>
        <v>Medium</v>
      </c>
      <c r="Y58" s="1" t="str">
        <f>IF(P58&lt;100,"Low",
IF(P58&lt;300,"Medium","High"))</f>
        <v>Low</v>
      </c>
    </row>
    <row r="59" spans="1:25" x14ac:dyDescent="0.3">
      <c r="A59">
        <v>58</v>
      </c>
      <c r="B59" s="2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 t="str">
        <f>VLOOKUP(MasterData[[#This Row],[season]],[1]Lookup!$A$2:$B$5,2,FALSE)</f>
        <v>Spring</v>
      </c>
      <c r="R59" t="str">
        <f>TEXT(DATE(2026,E59,1),"mmmm")</f>
        <v>January</v>
      </c>
      <c r="S59" t="str">
        <f>IF(OR(H59=0,H59=6),"Weekend","Weekday")</f>
        <v>Weekday</v>
      </c>
      <c r="T59" s="1" t="str">
        <f>VLOOKUP(I59,[1]Lookup!$D$2:$E$5,2,FALSE)</f>
        <v>Clear</v>
      </c>
      <c r="U59" s="1" t="str">
        <f>IF(F59&lt;6,"Night",
IF(F59&lt;12,"Morning",
IF(F59&lt;17,"Afternoon",
IF(F59&lt;21,"Evening","Night"))))</f>
        <v>Afternoon</v>
      </c>
      <c r="V59" s="1" t="str">
        <f>IF(J59&lt;0.3,"Cold",
IF(J59&lt;0.6,"Pleasant","Hot"))</f>
        <v>Cold</v>
      </c>
      <c r="W59" s="1" t="str">
        <f>IF(L59&lt;0.4,"Low",
IF(L59&lt;0.7,"Medium","High"))</f>
        <v>Low</v>
      </c>
      <c r="X59" s="1" t="str">
        <f>IF(M59&lt;0.2,"Low",
IF(M59&lt;0.4,"Medium","High"))</f>
        <v>Medium</v>
      </c>
      <c r="Y59" s="1" t="str">
        <f>IF(P59&lt;100,"Low",
IF(P59&lt;300,"Medium","High"))</f>
        <v>Low</v>
      </c>
    </row>
    <row r="60" spans="1:25" x14ac:dyDescent="0.3">
      <c r="A60">
        <v>59</v>
      </c>
      <c r="B60" s="2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Q60" t="str">
        <f>VLOOKUP(MasterData[[#This Row],[season]],[1]Lookup!$A$2:$B$5,2,FALSE)</f>
        <v>Spring</v>
      </c>
      <c r="R60" t="str">
        <f>TEXT(DATE(2026,E60,1),"mmmm")</f>
        <v>January</v>
      </c>
      <c r="S60" t="str">
        <f>IF(OR(H60=0,H60=6),"Weekend","Weekday")</f>
        <v>Weekday</v>
      </c>
      <c r="T60" s="1" t="str">
        <f>VLOOKUP(I60,[1]Lookup!$D$2:$E$5,2,FALSE)</f>
        <v>Clear</v>
      </c>
      <c r="U60" s="1" t="str">
        <f>IF(F60&lt;6,"Night",
IF(F60&lt;12,"Morning",
IF(F60&lt;17,"Afternoon",
IF(F60&lt;21,"Evening","Night"))))</f>
        <v>Afternoon</v>
      </c>
      <c r="V60" s="1" t="str">
        <f>IF(J60&lt;0.3,"Cold",
IF(J60&lt;0.6,"Pleasant","Hot"))</f>
        <v>Cold</v>
      </c>
      <c r="W60" s="1" t="str">
        <f>IF(L60&lt;0.4,"Low",
IF(L60&lt;0.7,"Medium","High"))</f>
        <v>Low</v>
      </c>
      <c r="X60" s="1" t="str">
        <f>IF(M60&lt;0.2,"Low",
IF(M60&lt;0.4,"Medium","High"))</f>
        <v>Medium</v>
      </c>
      <c r="Y60" s="1" t="str">
        <f>IF(P60&lt;100,"Low",
IF(P60&lt;300,"Medium","High"))</f>
        <v>Low</v>
      </c>
    </row>
    <row r="61" spans="1:25" x14ac:dyDescent="0.3">
      <c r="A61">
        <v>60</v>
      </c>
      <c r="B61" s="2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 t="str">
        <f>VLOOKUP(MasterData[[#This Row],[season]],[1]Lookup!$A$2:$B$5,2,FALSE)</f>
        <v>Spring</v>
      </c>
      <c r="R61" t="str">
        <f>TEXT(DATE(2026,E61,1),"mmmm")</f>
        <v>January</v>
      </c>
      <c r="S61" t="str">
        <f>IF(OR(H61=0,H61=6),"Weekend","Weekday")</f>
        <v>Weekday</v>
      </c>
      <c r="T61" s="1" t="str">
        <f>VLOOKUP(I61,[1]Lookup!$D$2:$E$5,2,FALSE)</f>
        <v>Clear</v>
      </c>
      <c r="U61" s="1" t="str">
        <f>IF(F61&lt;6,"Night",
IF(F61&lt;12,"Morning",
IF(F61&lt;17,"Afternoon",
IF(F61&lt;21,"Evening","Night"))))</f>
        <v>Afternoon</v>
      </c>
      <c r="V61" s="1" t="str">
        <f>IF(J61&lt;0.3,"Cold",
IF(J61&lt;0.6,"Pleasant","Hot"))</f>
        <v>Cold</v>
      </c>
      <c r="W61" s="1" t="str">
        <f>IF(L61&lt;0.4,"Low",
IF(L61&lt;0.7,"Medium","High"))</f>
        <v>Low</v>
      </c>
      <c r="X61" s="1" t="str">
        <f>IF(M61&lt;0.2,"Low",
IF(M61&lt;0.4,"Medium","High"))</f>
        <v>Medium</v>
      </c>
      <c r="Y61" s="1" t="str">
        <f>IF(P61&lt;100,"Low",
IF(P61&lt;300,"Medium","High"))</f>
        <v>Low</v>
      </c>
    </row>
    <row r="62" spans="1:25" x14ac:dyDescent="0.3">
      <c r="A62">
        <v>61</v>
      </c>
      <c r="B62" s="2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 t="str">
        <f>VLOOKUP(MasterData[[#This Row],[season]],[1]Lookup!$A$2:$B$5,2,FALSE)</f>
        <v>Spring</v>
      </c>
      <c r="R62" t="str">
        <f>TEXT(DATE(2026,E62,1),"mmmm")</f>
        <v>January</v>
      </c>
      <c r="S62" t="str">
        <f>IF(OR(H62=0,H62=6),"Weekend","Weekday")</f>
        <v>Weekday</v>
      </c>
      <c r="T62" s="1" t="str">
        <f>VLOOKUP(I62,[1]Lookup!$D$2:$E$5,2,FALSE)</f>
        <v>Clear</v>
      </c>
      <c r="U62" s="1" t="str">
        <f>IF(F62&lt;6,"Night",
IF(F62&lt;12,"Morning",
IF(F62&lt;17,"Afternoon",
IF(F62&lt;21,"Evening","Night"))))</f>
        <v>Afternoon</v>
      </c>
      <c r="V62" s="1" t="str">
        <f>IF(J62&lt;0.3,"Cold",
IF(J62&lt;0.6,"Pleasant","Hot"))</f>
        <v>Cold</v>
      </c>
      <c r="W62" s="1" t="str">
        <f>IF(L62&lt;0.4,"Low",
IF(L62&lt;0.7,"Medium","High"))</f>
        <v>Low</v>
      </c>
      <c r="X62" s="1" t="str">
        <f>IF(M62&lt;0.2,"Low",
IF(M62&lt;0.4,"Medium","High"))</f>
        <v>Medium</v>
      </c>
      <c r="Y62" s="1" t="str">
        <f>IF(P62&lt;100,"Low",
IF(P62&lt;300,"Medium","High"))</f>
        <v>Low</v>
      </c>
    </row>
    <row r="63" spans="1:25" x14ac:dyDescent="0.3">
      <c r="A63">
        <v>62</v>
      </c>
      <c r="B63" s="2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 t="str">
        <f>VLOOKUP(MasterData[[#This Row],[season]],[1]Lookup!$A$2:$B$5,2,FALSE)</f>
        <v>Spring</v>
      </c>
      <c r="R63" t="str">
        <f>TEXT(DATE(2026,E63,1),"mmmm")</f>
        <v>January</v>
      </c>
      <c r="S63" t="str">
        <f>IF(OR(H63=0,H63=6),"Weekend","Weekday")</f>
        <v>Weekday</v>
      </c>
      <c r="T63" s="1" t="str">
        <f>VLOOKUP(I63,[1]Lookup!$D$2:$E$5,2,FALSE)</f>
        <v>Clear</v>
      </c>
      <c r="U63" s="1" t="str">
        <f>IF(F63&lt;6,"Night",
IF(F63&lt;12,"Morning",
IF(F63&lt;17,"Afternoon",
IF(F63&lt;21,"Evening","Night"))))</f>
        <v>Afternoon</v>
      </c>
      <c r="V63" s="1" t="str">
        <f>IF(J63&lt;0.3,"Cold",
IF(J63&lt;0.6,"Pleasant","Hot"))</f>
        <v>Cold</v>
      </c>
      <c r="W63" s="1" t="str">
        <f>IF(L63&lt;0.4,"Low",
IF(L63&lt;0.7,"Medium","High"))</f>
        <v>Low</v>
      </c>
      <c r="X63" s="1" t="str">
        <f>IF(M63&lt;0.2,"Low",
IF(M63&lt;0.4,"Medium","High"))</f>
        <v>Medium</v>
      </c>
      <c r="Y63" s="1" t="str">
        <f>IF(P63&lt;100,"Low",
IF(P63&lt;300,"Medium","High"))</f>
        <v>Low</v>
      </c>
    </row>
    <row r="64" spans="1:25" x14ac:dyDescent="0.3">
      <c r="A64">
        <v>63</v>
      </c>
      <c r="B64" s="2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 t="str">
        <f>VLOOKUP(MasterData[[#This Row],[season]],[1]Lookup!$A$2:$B$5,2,FALSE)</f>
        <v>Spring</v>
      </c>
      <c r="R64" t="str">
        <f>TEXT(DATE(2026,E64,1),"mmmm")</f>
        <v>January</v>
      </c>
      <c r="S64" t="str">
        <f>IF(OR(H64=0,H64=6),"Weekend","Weekday")</f>
        <v>Weekday</v>
      </c>
      <c r="T64" s="1" t="str">
        <f>VLOOKUP(I64,[1]Lookup!$D$2:$E$5,2,FALSE)</f>
        <v>Clear</v>
      </c>
      <c r="U64" s="1" t="str">
        <f>IF(F64&lt;6,"Night",
IF(F64&lt;12,"Morning",
IF(F64&lt;17,"Afternoon",
IF(F64&lt;21,"Evening","Night"))))</f>
        <v>Evening</v>
      </c>
      <c r="V64" s="1" t="str">
        <f>IF(J64&lt;0.3,"Cold",
IF(J64&lt;0.6,"Pleasant","Hot"))</f>
        <v>Cold</v>
      </c>
      <c r="W64" s="1" t="str">
        <f>IF(L64&lt;0.4,"Low",
IF(L64&lt;0.7,"Medium","High"))</f>
        <v>Low</v>
      </c>
      <c r="X64" s="1" t="str">
        <f>IF(M64&lt;0.2,"Low",
IF(M64&lt;0.4,"Medium","High"))</f>
        <v>Medium</v>
      </c>
      <c r="Y64" s="1" t="str">
        <f>IF(P64&lt;100,"Low",
IF(P64&lt;300,"Medium","High"))</f>
        <v>Medium</v>
      </c>
    </row>
    <row r="65" spans="1:25" x14ac:dyDescent="0.3">
      <c r="A65">
        <v>64</v>
      </c>
      <c r="B65" s="2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 t="str">
        <f>VLOOKUP(MasterData[[#This Row],[season]],[1]Lookup!$A$2:$B$5,2,FALSE)</f>
        <v>Spring</v>
      </c>
      <c r="R65" t="str">
        <f>TEXT(DATE(2026,E65,1),"mmmm")</f>
        <v>January</v>
      </c>
      <c r="S65" t="str">
        <f>IF(OR(H65=0,H65=6),"Weekend","Weekday")</f>
        <v>Weekday</v>
      </c>
      <c r="T65" s="1" t="str">
        <f>VLOOKUP(I65,[1]Lookup!$D$2:$E$5,2,FALSE)</f>
        <v>Clear</v>
      </c>
      <c r="U65" s="1" t="str">
        <f>IF(F65&lt;6,"Night",
IF(F65&lt;12,"Morning",
IF(F65&lt;17,"Afternoon",
IF(F65&lt;21,"Evening","Night"))))</f>
        <v>Evening</v>
      </c>
      <c r="V65" s="1" t="str">
        <f>IF(J65&lt;0.3,"Cold",
IF(J65&lt;0.6,"Pleasant","Hot"))</f>
        <v>Cold</v>
      </c>
      <c r="W65" s="1" t="str">
        <f>IF(L65&lt;0.4,"Low",
IF(L65&lt;0.7,"Medium","High"))</f>
        <v>Low</v>
      </c>
      <c r="X65" s="1" t="str">
        <f>IF(M65&lt;0.2,"Low",
IF(M65&lt;0.4,"Medium","High"))</f>
        <v>Low</v>
      </c>
      <c r="Y65" s="1" t="str">
        <f>IF(P65&lt;100,"Low",
IF(P65&lt;300,"Medium","High"))</f>
        <v>Medium</v>
      </c>
    </row>
    <row r="66" spans="1:25" x14ac:dyDescent="0.3">
      <c r="A66">
        <v>65</v>
      </c>
      <c r="B66" s="2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  <c r="Q66" t="str">
        <f>VLOOKUP(MasterData[[#This Row],[season]],[1]Lookup!$A$2:$B$5,2,FALSE)</f>
        <v>Spring</v>
      </c>
      <c r="R66" t="str">
        <f>TEXT(DATE(2026,E66,1),"mmmm")</f>
        <v>January</v>
      </c>
      <c r="S66" t="str">
        <f>IF(OR(H66=0,H66=6),"Weekend","Weekday")</f>
        <v>Weekday</v>
      </c>
      <c r="T66" s="1" t="str">
        <f>VLOOKUP(I66,[1]Lookup!$D$2:$E$5,2,FALSE)</f>
        <v>Clear</v>
      </c>
      <c r="U66" s="1" t="str">
        <f>IF(F66&lt;6,"Night",
IF(F66&lt;12,"Morning",
IF(F66&lt;17,"Afternoon",
IF(F66&lt;21,"Evening","Night"))))</f>
        <v>Evening</v>
      </c>
      <c r="V66" s="1" t="str">
        <f>IF(J66&lt;0.3,"Cold",
IF(J66&lt;0.6,"Pleasant","Hot"))</f>
        <v>Cold</v>
      </c>
      <c r="W66" s="1" t="str">
        <f>IF(L66&lt;0.4,"Low",
IF(L66&lt;0.7,"Medium","High"))</f>
        <v>Medium</v>
      </c>
      <c r="X66" s="1" t="str">
        <f>IF(M66&lt;0.2,"Low",
IF(M66&lt;0.4,"Medium","High"))</f>
        <v>Low</v>
      </c>
      <c r="Y66" s="1" t="str">
        <f>IF(P66&lt;100,"Low",
IF(P66&lt;300,"Medium","High"))</f>
        <v>Medium</v>
      </c>
    </row>
    <row r="67" spans="1:25" x14ac:dyDescent="0.3">
      <c r="A67">
        <v>66</v>
      </c>
      <c r="B67" s="2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  <c r="Q67" t="str">
        <f>VLOOKUP(MasterData[[#This Row],[season]],[1]Lookup!$A$2:$B$5,2,FALSE)</f>
        <v>Spring</v>
      </c>
      <c r="R67" t="str">
        <f>TEXT(DATE(2026,E67,1),"mmmm")</f>
        <v>January</v>
      </c>
      <c r="S67" t="str">
        <f>IF(OR(H67=0,H67=6),"Weekend","Weekday")</f>
        <v>Weekday</v>
      </c>
      <c r="T67" s="1" t="str">
        <f>VLOOKUP(I67,[1]Lookup!$D$2:$E$5,2,FALSE)</f>
        <v>Clear</v>
      </c>
      <c r="U67" s="1" t="str">
        <f>IF(F67&lt;6,"Night",
IF(F67&lt;12,"Morning",
IF(F67&lt;17,"Afternoon",
IF(F67&lt;21,"Evening","Night"))))</f>
        <v>Evening</v>
      </c>
      <c r="V67" s="1" t="str">
        <f>IF(J67&lt;0.3,"Cold",
IF(J67&lt;0.6,"Pleasant","Hot"))</f>
        <v>Cold</v>
      </c>
      <c r="W67" s="1" t="str">
        <f>IF(L67&lt;0.4,"Low",
IF(L67&lt;0.7,"Medium","High"))</f>
        <v>Medium</v>
      </c>
      <c r="X67" s="1" t="str">
        <f>IF(M67&lt;0.2,"Low",
IF(M67&lt;0.4,"Medium","High"))</f>
        <v>Low</v>
      </c>
      <c r="Y67" s="1" t="str">
        <f>IF(P67&lt;100,"Low",
IF(P67&lt;300,"Medium","High"))</f>
        <v>Low</v>
      </c>
    </row>
    <row r="68" spans="1:25" x14ac:dyDescent="0.3">
      <c r="A68">
        <v>67</v>
      </c>
      <c r="B68" s="2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  <c r="Q68" t="str">
        <f>VLOOKUP(MasterData[[#This Row],[season]],[1]Lookup!$A$2:$B$5,2,FALSE)</f>
        <v>Spring</v>
      </c>
      <c r="R68" t="str">
        <f>TEXT(DATE(2026,E68,1),"mmmm")</f>
        <v>January</v>
      </c>
      <c r="S68" t="str">
        <f>IF(OR(H68=0,H68=6),"Weekend","Weekday")</f>
        <v>Weekday</v>
      </c>
      <c r="T68" s="1" t="str">
        <f>VLOOKUP(I68,[1]Lookup!$D$2:$E$5,2,FALSE)</f>
        <v>Clear</v>
      </c>
      <c r="U68" s="1" t="str">
        <f>IF(F68&lt;6,"Night",
IF(F68&lt;12,"Morning",
IF(F68&lt;17,"Afternoon",
IF(F68&lt;21,"Evening","Night"))))</f>
        <v>Night</v>
      </c>
      <c r="V68" s="1" t="str">
        <f>IF(J68&lt;0.3,"Cold",
IF(J68&lt;0.6,"Pleasant","Hot"))</f>
        <v>Cold</v>
      </c>
      <c r="W68" s="1" t="str">
        <f>IF(L68&lt;0.4,"Low",
IF(L68&lt;0.7,"Medium","High"))</f>
        <v>Medium</v>
      </c>
      <c r="X68" s="1" t="str">
        <f>IF(M68&lt;0.2,"Low",
IF(M68&lt;0.4,"Medium","High"))</f>
        <v>Low</v>
      </c>
      <c r="Y68" s="1" t="str">
        <f>IF(P68&lt;100,"Low",
IF(P68&lt;300,"Medium","High"))</f>
        <v>Low</v>
      </c>
    </row>
    <row r="69" spans="1:25" x14ac:dyDescent="0.3">
      <c r="A69">
        <v>68</v>
      </c>
      <c r="B69" s="2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  <c r="Q69" t="str">
        <f>VLOOKUP(MasterData[[#This Row],[season]],[1]Lookup!$A$2:$B$5,2,FALSE)</f>
        <v>Spring</v>
      </c>
      <c r="R69" t="str">
        <f>TEXT(DATE(2026,E69,1),"mmmm")</f>
        <v>January</v>
      </c>
      <c r="S69" t="str">
        <f>IF(OR(H69=0,H69=6),"Weekend","Weekday")</f>
        <v>Weekday</v>
      </c>
      <c r="T69" s="1" t="str">
        <f>VLOOKUP(I69,[1]Lookup!$D$2:$E$5,2,FALSE)</f>
        <v>Clear</v>
      </c>
      <c r="U69" s="1" t="str">
        <f>IF(F69&lt;6,"Night",
IF(F69&lt;12,"Morning",
IF(F69&lt;17,"Afternoon",
IF(F69&lt;21,"Evening","Night"))))</f>
        <v>Night</v>
      </c>
      <c r="V69" s="1" t="str">
        <f>IF(J69&lt;0.3,"Cold",
IF(J69&lt;0.6,"Pleasant","Hot"))</f>
        <v>Cold</v>
      </c>
      <c r="W69" s="1" t="str">
        <f>IF(L69&lt;0.4,"Low",
IF(L69&lt;0.7,"Medium","High"))</f>
        <v>Medium</v>
      </c>
      <c r="X69" s="1" t="str">
        <f>IF(M69&lt;0.2,"Low",
IF(M69&lt;0.4,"Medium","High"))</f>
        <v>Low</v>
      </c>
      <c r="Y69" s="1" t="str">
        <f>IF(P69&lt;100,"Low",
IF(P69&lt;300,"Medium","High"))</f>
        <v>Low</v>
      </c>
    </row>
    <row r="70" spans="1:25" x14ac:dyDescent="0.3">
      <c r="A70">
        <v>69</v>
      </c>
      <c r="B70" s="2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 t="str">
        <f>VLOOKUP(MasterData[[#This Row],[season]],[1]Lookup!$A$2:$B$5,2,FALSE)</f>
        <v>Spring</v>
      </c>
      <c r="R70" t="str">
        <f>TEXT(DATE(2026,E70,1),"mmmm")</f>
        <v>January</v>
      </c>
      <c r="S70" t="str">
        <f>IF(OR(H70=0,H70=6),"Weekend","Weekday")</f>
        <v>Weekday</v>
      </c>
      <c r="T70" s="1" t="str">
        <f>VLOOKUP(I70,[1]Lookup!$D$2:$E$5,2,FALSE)</f>
        <v>Clear</v>
      </c>
      <c r="U70" s="1" t="str">
        <f>IF(F70&lt;6,"Night",
IF(F70&lt;12,"Morning",
IF(F70&lt;17,"Afternoon",
IF(F70&lt;21,"Evening","Night"))))</f>
        <v>Night</v>
      </c>
      <c r="V70" s="1" t="str">
        <f>IF(J70&lt;0.3,"Cold",
IF(J70&lt;0.6,"Pleasant","Hot"))</f>
        <v>Cold</v>
      </c>
      <c r="W70" s="1" t="str">
        <f>IF(L70&lt;0.4,"Low",
IF(L70&lt;0.7,"Medium","High"))</f>
        <v>Medium</v>
      </c>
      <c r="X70" s="1" t="str">
        <f>IF(M70&lt;0.2,"Low",
IF(M70&lt;0.4,"Medium","High"))</f>
        <v>Low</v>
      </c>
      <c r="Y70" s="1" t="str">
        <f>IF(P70&lt;100,"Low",
IF(P70&lt;300,"Medium","High"))</f>
        <v>Low</v>
      </c>
    </row>
    <row r="71" spans="1:25" x14ac:dyDescent="0.3">
      <c r="A71">
        <v>70</v>
      </c>
      <c r="B71" s="2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Q71" t="str">
        <f>VLOOKUP(MasterData[[#This Row],[season]],[1]Lookup!$A$2:$B$5,2,FALSE)</f>
        <v>Spring</v>
      </c>
      <c r="R71" t="str">
        <f>TEXT(DATE(2026,E71,1),"mmmm")</f>
        <v>January</v>
      </c>
      <c r="S71" t="str">
        <f>IF(OR(H71=0,H71=6),"Weekend","Weekday")</f>
        <v>Weekday</v>
      </c>
      <c r="T71" s="1" t="str">
        <f>VLOOKUP(I71,[1]Lookup!$D$2:$E$5,2,FALSE)</f>
        <v>Clear</v>
      </c>
      <c r="U71" s="1" t="str">
        <f>IF(F71&lt;6,"Night",
IF(F71&lt;12,"Morning",
IF(F71&lt;17,"Afternoon",
IF(F71&lt;21,"Evening","Night"))))</f>
        <v>Night</v>
      </c>
      <c r="V71" s="1" t="str">
        <f>IF(J71&lt;0.3,"Cold",
IF(J71&lt;0.6,"Pleasant","Hot"))</f>
        <v>Cold</v>
      </c>
      <c r="W71" s="1" t="str">
        <f>IF(L71&lt;0.4,"Low",
IF(L71&lt;0.7,"Medium","High"))</f>
        <v>Medium</v>
      </c>
      <c r="X71" s="1" t="str">
        <f>IF(M71&lt;0.2,"Low",
IF(M71&lt;0.4,"Medium","High"))</f>
        <v>Low</v>
      </c>
      <c r="Y71" s="1" t="str">
        <f>IF(P71&lt;100,"Low",
IF(P71&lt;300,"Medium","High"))</f>
        <v>Low</v>
      </c>
    </row>
    <row r="72" spans="1:25" x14ac:dyDescent="0.3">
      <c r="A72">
        <v>71</v>
      </c>
      <c r="B72" s="2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  <c r="Q72" t="str">
        <f>VLOOKUP(MasterData[[#This Row],[season]],[1]Lookup!$A$2:$B$5,2,FALSE)</f>
        <v>Spring</v>
      </c>
      <c r="R72" t="str">
        <f>TEXT(DATE(2026,E72,1),"mmmm")</f>
        <v>January</v>
      </c>
      <c r="S72" t="str">
        <f>IF(OR(H72=0,H72=6),"Weekend","Weekday")</f>
        <v>Weekday</v>
      </c>
      <c r="T72" s="1" t="str">
        <f>VLOOKUP(I72,[1]Lookup!$D$2:$E$5,2,FALSE)</f>
        <v>Clear</v>
      </c>
      <c r="U72" s="1" t="str">
        <f>IF(F72&lt;6,"Night",
IF(F72&lt;12,"Morning",
IF(F72&lt;17,"Afternoon",
IF(F72&lt;21,"Evening","Night"))))</f>
        <v>Night</v>
      </c>
      <c r="V72" s="1" t="str">
        <f>IF(J72&lt;0.3,"Cold",
IF(J72&lt;0.6,"Pleasant","Hot"))</f>
        <v>Cold</v>
      </c>
      <c r="W72" s="1" t="str">
        <f>IF(L72&lt;0.4,"Low",
IF(L72&lt;0.7,"Medium","High"))</f>
        <v>Medium</v>
      </c>
      <c r="X72" s="1" t="str">
        <f>IF(M72&lt;0.2,"Low",
IF(M72&lt;0.4,"Medium","High"))</f>
        <v>Low</v>
      </c>
      <c r="Y72" s="1" t="str">
        <f>IF(P72&lt;100,"Low",
IF(P72&lt;300,"Medium","High"))</f>
        <v>Low</v>
      </c>
    </row>
    <row r="73" spans="1:25" x14ac:dyDescent="0.3">
      <c r="A73">
        <v>72</v>
      </c>
      <c r="B73" s="2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  <c r="Q73" t="str">
        <f>VLOOKUP(MasterData[[#This Row],[season]],[1]Lookup!$A$2:$B$5,2,FALSE)</f>
        <v>Spring</v>
      </c>
      <c r="R73" t="str">
        <f>TEXT(DATE(2026,E73,1),"mmmm")</f>
        <v>January</v>
      </c>
      <c r="S73" t="str">
        <f>IF(OR(H73=0,H73=6),"Weekend","Weekday")</f>
        <v>Weekday</v>
      </c>
      <c r="T73" s="1" t="str">
        <f>VLOOKUP(I73,[1]Lookup!$D$2:$E$5,2,FALSE)</f>
        <v>Clear</v>
      </c>
      <c r="U73" s="1" t="str">
        <f>IF(F73&lt;6,"Night",
IF(F73&lt;12,"Morning",
IF(F73&lt;17,"Afternoon",
IF(F73&lt;21,"Evening","Night"))))</f>
        <v>Night</v>
      </c>
      <c r="V73" s="1" t="str">
        <f>IF(J73&lt;0.3,"Cold",
IF(J73&lt;0.6,"Pleasant","Hot"))</f>
        <v>Cold</v>
      </c>
      <c r="W73" s="1" t="str">
        <f>IF(L73&lt;0.4,"Low",
IF(L73&lt;0.7,"Medium","High"))</f>
        <v>Medium</v>
      </c>
      <c r="X73" s="1" t="str">
        <f>IF(M73&lt;0.2,"Low",
IF(M73&lt;0.4,"Medium","High"))</f>
        <v>Low</v>
      </c>
      <c r="Y73" s="1" t="str">
        <f>IF(P73&lt;100,"Low",
IF(P73&lt;300,"Medium","High"))</f>
        <v>Low</v>
      </c>
    </row>
    <row r="74" spans="1:25" x14ac:dyDescent="0.3">
      <c r="A74">
        <v>73</v>
      </c>
      <c r="B74" s="2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 t="str">
        <f>VLOOKUP(MasterData[[#This Row],[season]],[1]Lookup!$A$2:$B$5,2,FALSE)</f>
        <v>Spring</v>
      </c>
      <c r="R74" t="str">
        <f>TEXT(DATE(2026,E74,1),"mmmm")</f>
        <v>January</v>
      </c>
      <c r="S74" t="str">
        <f>IF(OR(H74=0,H74=6),"Weekend","Weekday")</f>
        <v>Weekday</v>
      </c>
      <c r="T74" s="1" t="str">
        <f>VLOOKUP(I74,[1]Lookup!$D$2:$E$5,2,FALSE)</f>
        <v>Clear</v>
      </c>
      <c r="U74" s="1" t="str">
        <f>IF(F74&lt;6,"Night",
IF(F74&lt;12,"Morning",
IF(F74&lt;17,"Afternoon",
IF(F74&lt;21,"Evening","Night"))))</f>
        <v>Night</v>
      </c>
      <c r="V74" s="1" t="str">
        <f>IF(J74&lt;0.3,"Cold",
IF(J74&lt;0.6,"Pleasant","Hot"))</f>
        <v>Cold</v>
      </c>
      <c r="W74" s="1" t="str">
        <f>IF(L74&lt;0.4,"Low",
IF(L74&lt;0.7,"Medium","High"))</f>
        <v>Medium</v>
      </c>
      <c r="X74" s="1" t="str">
        <f>IF(M74&lt;0.2,"Low",
IF(M74&lt;0.4,"Medium","High"))</f>
        <v>Low</v>
      </c>
      <c r="Y74" s="1" t="str">
        <f>IF(P74&lt;100,"Low",
IF(P74&lt;300,"Medium","High"))</f>
        <v>Low</v>
      </c>
    </row>
    <row r="75" spans="1:25" x14ac:dyDescent="0.3">
      <c r="A75">
        <v>74</v>
      </c>
      <c r="B75" s="2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 t="str">
        <f>VLOOKUP(MasterData[[#This Row],[season]],[1]Lookup!$A$2:$B$5,2,FALSE)</f>
        <v>Spring</v>
      </c>
      <c r="R75" t="str">
        <f>TEXT(DATE(2026,E75,1),"mmmm")</f>
        <v>January</v>
      </c>
      <c r="S75" t="str">
        <f>IF(OR(H75=0,H75=6),"Weekend","Weekday")</f>
        <v>Weekday</v>
      </c>
      <c r="T75" s="1" t="str">
        <f>VLOOKUP(I75,[1]Lookup!$D$2:$E$5,2,FALSE)</f>
        <v>Clear</v>
      </c>
      <c r="U75" s="1" t="str">
        <f>IF(F75&lt;6,"Night",
IF(F75&lt;12,"Morning",
IF(F75&lt;17,"Afternoon",
IF(F75&lt;21,"Evening","Night"))))</f>
        <v>Night</v>
      </c>
      <c r="V75" s="1" t="str">
        <f>IF(J75&lt;0.3,"Cold",
IF(J75&lt;0.6,"Pleasant","Hot"))</f>
        <v>Cold</v>
      </c>
      <c r="W75" s="1" t="str">
        <f>IF(L75&lt;0.4,"Low",
IF(L75&lt;0.7,"Medium","High"))</f>
        <v>Medium</v>
      </c>
      <c r="X75" s="1" t="str">
        <f>IF(M75&lt;0.2,"Low",
IF(M75&lt;0.4,"Medium","High"))</f>
        <v>Low</v>
      </c>
      <c r="Y75" s="1" t="str">
        <f>IF(P75&lt;100,"Low",
IF(P75&lt;300,"Medium","High"))</f>
        <v>Low</v>
      </c>
    </row>
    <row r="76" spans="1:25" x14ac:dyDescent="0.3">
      <c r="A76">
        <v>75</v>
      </c>
      <c r="B76" s="2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 t="str">
        <f>VLOOKUP(MasterData[[#This Row],[season]],[1]Lookup!$A$2:$B$5,2,FALSE)</f>
        <v>Spring</v>
      </c>
      <c r="R76" t="str">
        <f>TEXT(DATE(2026,E76,1),"mmmm")</f>
        <v>January</v>
      </c>
      <c r="S76" t="str">
        <f>IF(OR(H76=0,H76=6),"Weekend","Weekday")</f>
        <v>Weekday</v>
      </c>
      <c r="T76" s="1" t="str">
        <f>VLOOKUP(I76,[1]Lookup!$D$2:$E$5,2,FALSE)</f>
        <v>Clear</v>
      </c>
      <c r="U76" s="1" t="str">
        <f>IF(F76&lt;6,"Night",
IF(F76&lt;12,"Morning",
IF(F76&lt;17,"Afternoon",
IF(F76&lt;21,"Evening","Night"))))</f>
        <v>Morning</v>
      </c>
      <c r="V76" s="1" t="str">
        <f>IF(J76&lt;0.3,"Cold",
IF(J76&lt;0.6,"Pleasant","Hot"))</f>
        <v>Cold</v>
      </c>
      <c r="W76" s="1" t="str">
        <f>IF(L76&lt;0.4,"Low",
IF(L76&lt;0.7,"Medium","High"))</f>
        <v>High</v>
      </c>
      <c r="X76" s="1" t="str">
        <f>IF(M76&lt;0.2,"Low",
IF(M76&lt;0.4,"Medium","High"))</f>
        <v>Low</v>
      </c>
      <c r="Y76" s="1" t="str">
        <f>IF(P76&lt;100,"Low",
IF(P76&lt;300,"Medium","High"))</f>
        <v>Low</v>
      </c>
    </row>
    <row r="77" spans="1:25" x14ac:dyDescent="0.3">
      <c r="A77">
        <v>76</v>
      </c>
      <c r="B77" s="2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 t="str">
        <f>VLOOKUP(MasterData[[#This Row],[season]],[1]Lookup!$A$2:$B$5,2,FALSE)</f>
        <v>Spring</v>
      </c>
      <c r="R77" t="str">
        <f>TEXT(DATE(2026,E77,1),"mmmm")</f>
        <v>January</v>
      </c>
      <c r="S77" t="str">
        <f>IF(OR(H77=0,H77=6),"Weekend","Weekday")</f>
        <v>Weekday</v>
      </c>
      <c r="T77" s="1" t="str">
        <f>VLOOKUP(I77,[1]Lookup!$D$2:$E$5,2,FALSE)</f>
        <v>Clear</v>
      </c>
      <c r="U77" s="1" t="str">
        <f>IF(F77&lt;6,"Night",
IF(F77&lt;12,"Morning",
IF(F77&lt;17,"Afternoon",
IF(F77&lt;21,"Evening","Night"))))</f>
        <v>Morning</v>
      </c>
      <c r="V77" s="1" t="str">
        <f>IF(J77&lt;0.3,"Cold",
IF(J77&lt;0.6,"Pleasant","Hot"))</f>
        <v>Cold</v>
      </c>
      <c r="W77" s="1" t="str">
        <f>IF(L77&lt;0.4,"Low",
IF(L77&lt;0.7,"Medium","High"))</f>
        <v>High</v>
      </c>
      <c r="X77" s="1" t="str">
        <f>IF(M77&lt;0.2,"Low",
IF(M77&lt;0.4,"Medium","High"))</f>
        <v>Low</v>
      </c>
      <c r="Y77" s="1" t="str">
        <f>IF(P77&lt;100,"Low",
IF(P77&lt;300,"Medium","High"))</f>
        <v>Low</v>
      </c>
    </row>
    <row r="78" spans="1:25" x14ac:dyDescent="0.3">
      <c r="A78">
        <v>77</v>
      </c>
      <c r="B78" s="2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 t="str">
        <f>VLOOKUP(MasterData[[#This Row],[season]],[1]Lookup!$A$2:$B$5,2,FALSE)</f>
        <v>Spring</v>
      </c>
      <c r="R78" t="str">
        <f>TEXT(DATE(2026,E78,1),"mmmm")</f>
        <v>January</v>
      </c>
      <c r="S78" t="str">
        <f>IF(OR(H78=0,H78=6),"Weekend","Weekday")</f>
        <v>Weekday</v>
      </c>
      <c r="T78" s="1" t="str">
        <f>VLOOKUP(I78,[1]Lookup!$D$2:$E$5,2,FALSE)</f>
        <v>Clear</v>
      </c>
      <c r="U78" s="1" t="str">
        <f>IF(F78&lt;6,"Night",
IF(F78&lt;12,"Morning",
IF(F78&lt;17,"Afternoon",
IF(F78&lt;21,"Evening","Night"))))</f>
        <v>Morning</v>
      </c>
      <c r="V78" s="1" t="str">
        <f>IF(J78&lt;0.3,"Cold",
IF(J78&lt;0.6,"Pleasant","Hot"))</f>
        <v>Cold</v>
      </c>
      <c r="W78" s="1" t="str">
        <f>IF(L78&lt;0.4,"Low",
IF(L78&lt;0.7,"Medium","High"))</f>
        <v>Medium</v>
      </c>
      <c r="X78" s="1" t="str">
        <f>IF(M78&lt;0.2,"Low",
IF(M78&lt;0.4,"Medium","High"))</f>
        <v>Low</v>
      </c>
      <c r="Y78" s="1" t="str">
        <f>IF(P78&lt;100,"Low",
IF(P78&lt;300,"Medium","High"))</f>
        <v>Medium</v>
      </c>
    </row>
    <row r="79" spans="1:25" x14ac:dyDescent="0.3">
      <c r="A79">
        <v>78</v>
      </c>
      <c r="B79" s="2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 t="str">
        <f>VLOOKUP(MasterData[[#This Row],[season]],[1]Lookup!$A$2:$B$5,2,FALSE)</f>
        <v>Spring</v>
      </c>
      <c r="R79" t="str">
        <f>TEXT(DATE(2026,E79,1),"mmmm")</f>
        <v>January</v>
      </c>
      <c r="S79" t="str">
        <f>IF(OR(H79=0,H79=6),"Weekend","Weekday")</f>
        <v>Weekday</v>
      </c>
      <c r="T79" s="1" t="str">
        <f>VLOOKUP(I79,[1]Lookup!$D$2:$E$5,2,FALSE)</f>
        <v>Clear</v>
      </c>
      <c r="U79" s="1" t="str">
        <f>IF(F79&lt;6,"Night",
IF(F79&lt;12,"Morning",
IF(F79&lt;17,"Afternoon",
IF(F79&lt;21,"Evening","Night"))))</f>
        <v>Morning</v>
      </c>
      <c r="V79" s="1" t="str">
        <f>IF(J79&lt;0.3,"Cold",
IF(J79&lt;0.6,"Pleasant","Hot"))</f>
        <v>Cold</v>
      </c>
      <c r="W79" s="1" t="str">
        <f>IF(L79&lt;0.4,"Low",
IF(L79&lt;0.7,"Medium","High"))</f>
        <v>Medium</v>
      </c>
      <c r="X79" s="1" t="str">
        <f>IF(M79&lt;0.2,"Low",
IF(M79&lt;0.4,"Medium","High"))</f>
        <v>Medium</v>
      </c>
      <c r="Y79" s="1" t="str">
        <f>IF(P79&lt;100,"Low",
IF(P79&lt;300,"Medium","High"))</f>
        <v>Medium</v>
      </c>
    </row>
    <row r="80" spans="1:25" x14ac:dyDescent="0.3">
      <c r="A80">
        <v>79</v>
      </c>
      <c r="B80" s="2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 t="str">
        <f>VLOOKUP(MasterData[[#This Row],[season]],[1]Lookup!$A$2:$B$5,2,FALSE)</f>
        <v>Spring</v>
      </c>
      <c r="R80" t="str">
        <f>TEXT(DATE(2026,E80,1),"mmmm")</f>
        <v>January</v>
      </c>
      <c r="S80" t="str">
        <f>IF(OR(H80=0,H80=6),"Weekend","Weekday")</f>
        <v>Weekday</v>
      </c>
      <c r="T80" s="1" t="str">
        <f>VLOOKUP(I80,[1]Lookup!$D$2:$E$5,2,FALSE)</f>
        <v>Mist / Cloudy</v>
      </c>
      <c r="U80" s="1" t="str">
        <f>IF(F80&lt;6,"Night",
IF(F80&lt;12,"Morning",
IF(F80&lt;17,"Afternoon",
IF(F80&lt;21,"Evening","Night"))))</f>
        <v>Morning</v>
      </c>
      <c r="V80" s="1" t="str">
        <f>IF(J80&lt;0.3,"Cold",
IF(J80&lt;0.6,"Pleasant","Hot"))</f>
        <v>Cold</v>
      </c>
      <c r="W80" s="1" t="str">
        <f>IF(L80&lt;0.4,"Low",
IF(L80&lt;0.7,"Medium","High"))</f>
        <v>Medium</v>
      </c>
      <c r="X80" s="1" t="str">
        <f>IF(M80&lt;0.2,"Low",
IF(M80&lt;0.4,"Medium","High"))</f>
        <v>Medium</v>
      </c>
      <c r="Y80" s="1" t="str">
        <f>IF(P80&lt;100,"Low",
IF(P80&lt;300,"Medium","High"))</f>
        <v>Low</v>
      </c>
    </row>
    <row r="81" spans="1:25" x14ac:dyDescent="0.3">
      <c r="A81">
        <v>80</v>
      </c>
      <c r="B81" s="2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 t="str">
        <f>VLOOKUP(MasterData[[#This Row],[season]],[1]Lookup!$A$2:$B$5,2,FALSE)</f>
        <v>Spring</v>
      </c>
      <c r="R81" t="str">
        <f>TEXT(DATE(2026,E81,1),"mmmm")</f>
        <v>January</v>
      </c>
      <c r="S81" t="str">
        <f>IF(OR(H81=0,H81=6),"Weekend","Weekday")</f>
        <v>Weekday</v>
      </c>
      <c r="T81" s="1" t="str">
        <f>VLOOKUP(I81,[1]Lookup!$D$2:$E$5,2,FALSE)</f>
        <v>Clear</v>
      </c>
      <c r="U81" s="1" t="str">
        <f>IF(F81&lt;6,"Night",
IF(F81&lt;12,"Morning",
IF(F81&lt;17,"Afternoon",
IF(F81&lt;21,"Evening","Night"))))</f>
        <v>Morning</v>
      </c>
      <c r="V81" s="1" t="str">
        <f>IF(J81&lt;0.3,"Cold",
IF(J81&lt;0.6,"Pleasant","Hot"))</f>
        <v>Cold</v>
      </c>
      <c r="W81" s="1" t="str">
        <f>IF(L81&lt;0.4,"Low",
IF(L81&lt;0.7,"Medium","High"))</f>
        <v>Medium</v>
      </c>
      <c r="X81" s="1" t="str">
        <f>IF(M81&lt;0.2,"Low",
IF(M81&lt;0.4,"Medium","High"))</f>
        <v>Medium</v>
      </c>
      <c r="Y81" s="1" t="str">
        <f>IF(P81&lt;100,"Low",
IF(P81&lt;300,"Medium","High"))</f>
        <v>Low</v>
      </c>
    </row>
    <row r="82" spans="1:25" x14ac:dyDescent="0.3">
      <c r="A82">
        <v>81</v>
      </c>
      <c r="B82" s="2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 t="str">
        <f>VLOOKUP(MasterData[[#This Row],[season]],[1]Lookup!$A$2:$B$5,2,FALSE)</f>
        <v>Spring</v>
      </c>
      <c r="R82" t="str">
        <f>TEXT(DATE(2026,E82,1),"mmmm")</f>
        <v>January</v>
      </c>
      <c r="S82" t="str">
        <f>IF(OR(H82=0,H82=6),"Weekend","Weekday")</f>
        <v>Weekday</v>
      </c>
      <c r="T82" s="1" t="str">
        <f>VLOOKUP(I82,[1]Lookup!$D$2:$E$5,2,FALSE)</f>
        <v>Clear</v>
      </c>
      <c r="U82" s="1" t="str">
        <f>IF(F82&lt;6,"Night",
IF(F82&lt;12,"Morning",
IF(F82&lt;17,"Afternoon",
IF(F82&lt;21,"Evening","Night"))))</f>
        <v>Afternoon</v>
      </c>
      <c r="V82" s="1" t="str">
        <f>IF(J82&lt;0.3,"Cold",
IF(J82&lt;0.6,"Pleasant","Hot"))</f>
        <v>Cold</v>
      </c>
      <c r="W82" s="1" t="str">
        <f>IF(L82&lt;0.4,"Low",
IF(L82&lt;0.7,"Medium","High"))</f>
        <v>Medium</v>
      </c>
      <c r="X82" s="1" t="str">
        <f>IF(M82&lt;0.2,"Low",
IF(M82&lt;0.4,"Medium","High"))</f>
        <v>Low</v>
      </c>
      <c r="Y82" s="1" t="str">
        <f>IF(P82&lt;100,"Low",
IF(P82&lt;300,"Medium","High"))</f>
        <v>Low</v>
      </c>
    </row>
    <row r="83" spans="1:25" x14ac:dyDescent="0.3">
      <c r="A83">
        <v>82</v>
      </c>
      <c r="B83" s="2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 t="str">
        <f>VLOOKUP(MasterData[[#This Row],[season]],[1]Lookup!$A$2:$B$5,2,FALSE)</f>
        <v>Spring</v>
      </c>
      <c r="R83" t="str">
        <f>TEXT(DATE(2026,E83,1),"mmmm")</f>
        <v>January</v>
      </c>
      <c r="S83" t="str">
        <f>IF(OR(H83=0,H83=6),"Weekend","Weekday")</f>
        <v>Weekday</v>
      </c>
      <c r="T83" s="1" t="str">
        <f>VLOOKUP(I83,[1]Lookup!$D$2:$E$5,2,FALSE)</f>
        <v>Clear</v>
      </c>
      <c r="U83" s="1" t="str">
        <f>IF(F83&lt;6,"Night",
IF(F83&lt;12,"Morning",
IF(F83&lt;17,"Afternoon",
IF(F83&lt;21,"Evening","Night"))))</f>
        <v>Afternoon</v>
      </c>
      <c r="V83" s="1" t="str">
        <f>IF(J83&lt;0.3,"Cold",
IF(J83&lt;0.6,"Pleasant","Hot"))</f>
        <v>Cold</v>
      </c>
      <c r="W83" s="1" t="str">
        <f>IF(L83&lt;0.4,"Low",
IF(L83&lt;0.7,"Medium","High"))</f>
        <v>Medium</v>
      </c>
      <c r="X83" s="1" t="str">
        <f>IF(M83&lt;0.2,"Low",
IF(M83&lt;0.4,"Medium","High"))</f>
        <v>Low</v>
      </c>
      <c r="Y83" s="1" t="str">
        <f>IF(P83&lt;100,"Low",
IF(P83&lt;300,"Medium","High"))</f>
        <v>Low</v>
      </c>
    </row>
    <row r="84" spans="1:25" x14ac:dyDescent="0.3">
      <c r="A84">
        <v>83</v>
      </c>
      <c r="B84" s="2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 t="str">
        <f>VLOOKUP(MasterData[[#This Row],[season]],[1]Lookup!$A$2:$B$5,2,FALSE)</f>
        <v>Spring</v>
      </c>
      <c r="R84" t="str">
        <f>TEXT(DATE(2026,E84,1),"mmmm")</f>
        <v>January</v>
      </c>
      <c r="S84" t="str">
        <f>IF(OR(H84=0,H84=6),"Weekend","Weekday")</f>
        <v>Weekday</v>
      </c>
      <c r="T84" s="1" t="str">
        <f>VLOOKUP(I84,[1]Lookup!$D$2:$E$5,2,FALSE)</f>
        <v>Clear</v>
      </c>
      <c r="U84" s="1" t="str">
        <f>IF(F84&lt;6,"Night",
IF(F84&lt;12,"Morning",
IF(F84&lt;17,"Afternoon",
IF(F84&lt;21,"Evening","Night"))))</f>
        <v>Afternoon</v>
      </c>
      <c r="V84" s="1" t="str">
        <f>IF(J84&lt;0.3,"Cold",
IF(J84&lt;0.6,"Pleasant","Hot"))</f>
        <v>Cold</v>
      </c>
      <c r="W84" s="1" t="str">
        <f>IF(L84&lt;0.4,"Low",
IF(L84&lt;0.7,"Medium","High"))</f>
        <v>Medium</v>
      </c>
      <c r="X84" s="1" t="str">
        <f>IF(M84&lt;0.2,"Low",
IF(M84&lt;0.4,"Medium","High"))</f>
        <v>Medium</v>
      </c>
      <c r="Y84" s="1" t="str">
        <f>IF(P84&lt;100,"Low",
IF(P84&lt;300,"Medium","High"))</f>
        <v>Low</v>
      </c>
    </row>
    <row r="85" spans="1:25" x14ac:dyDescent="0.3">
      <c r="A85">
        <v>84</v>
      </c>
      <c r="B85" s="2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 t="str">
        <f>VLOOKUP(MasterData[[#This Row],[season]],[1]Lookup!$A$2:$B$5,2,FALSE)</f>
        <v>Spring</v>
      </c>
      <c r="R85" t="str">
        <f>TEXT(DATE(2026,E85,1),"mmmm")</f>
        <v>January</v>
      </c>
      <c r="S85" t="str">
        <f>IF(OR(H85=0,H85=6),"Weekend","Weekday")</f>
        <v>Weekday</v>
      </c>
      <c r="T85" s="1" t="str">
        <f>VLOOKUP(I85,[1]Lookup!$D$2:$E$5,2,FALSE)</f>
        <v>Clear</v>
      </c>
      <c r="U85" s="1" t="str">
        <f>IF(F85&lt;6,"Night",
IF(F85&lt;12,"Morning",
IF(F85&lt;17,"Afternoon",
IF(F85&lt;21,"Evening","Night"))))</f>
        <v>Afternoon</v>
      </c>
      <c r="V85" s="1" t="str">
        <f>IF(J85&lt;0.3,"Cold",
IF(J85&lt;0.6,"Pleasant","Hot"))</f>
        <v>Cold</v>
      </c>
      <c r="W85" s="1" t="str">
        <f>IF(L85&lt;0.4,"Low",
IF(L85&lt;0.7,"Medium","High"))</f>
        <v>Medium</v>
      </c>
      <c r="X85" s="1" t="str">
        <f>IF(M85&lt;0.2,"Low",
IF(M85&lt;0.4,"Medium","High"))</f>
        <v>Medium</v>
      </c>
      <c r="Y85" s="1" t="str">
        <f>IF(P85&lt;100,"Low",
IF(P85&lt;300,"Medium","High"))</f>
        <v>Low</v>
      </c>
    </row>
    <row r="86" spans="1:25" x14ac:dyDescent="0.3">
      <c r="A86">
        <v>85</v>
      </c>
      <c r="B86" s="2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 t="str">
        <f>VLOOKUP(MasterData[[#This Row],[season]],[1]Lookup!$A$2:$B$5,2,FALSE)</f>
        <v>Spring</v>
      </c>
      <c r="R86" t="str">
        <f>TEXT(DATE(2026,E86,1),"mmmm")</f>
        <v>January</v>
      </c>
      <c r="S86" t="str">
        <f>IF(OR(H86=0,H86=6),"Weekend","Weekday")</f>
        <v>Weekday</v>
      </c>
      <c r="T86" s="1" t="str">
        <f>VLOOKUP(I86,[1]Lookup!$D$2:$E$5,2,FALSE)</f>
        <v>Clear</v>
      </c>
      <c r="U86" s="1" t="str">
        <f>IF(F86&lt;6,"Night",
IF(F86&lt;12,"Morning",
IF(F86&lt;17,"Afternoon",
IF(F86&lt;21,"Evening","Night"))))</f>
        <v>Afternoon</v>
      </c>
      <c r="V86" s="1" t="str">
        <f>IF(J86&lt;0.3,"Cold",
IF(J86&lt;0.6,"Pleasant","Hot"))</f>
        <v>Pleasant</v>
      </c>
      <c r="W86" s="1" t="str">
        <f>IF(L86&lt;0.4,"Low",
IF(L86&lt;0.7,"Medium","High"))</f>
        <v>Medium</v>
      </c>
      <c r="X86" s="1" t="str">
        <f>IF(M86&lt;0.2,"Low",
IF(M86&lt;0.4,"Medium","High"))</f>
        <v>Medium</v>
      </c>
      <c r="Y86" s="1" t="str">
        <f>IF(P86&lt;100,"Low",
IF(P86&lt;300,"Medium","High"))</f>
        <v>Low</v>
      </c>
    </row>
    <row r="87" spans="1:25" x14ac:dyDescent="0.3">
      <c r="A87">
        <v>86</v>
      </c>
      <c r="B87" s="2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 t="str">
        <f>VLOOKUP(MasterData[[#This Row],[season]],[1]Lookup!$A$2:$B$5,2,FALSE)</f>
        <v>Spring</v>
      </c>
      <c r="R87" t="str">
        <f>TEXT(DATE(2026,E87,1),"mmmm")</f>
        <v>January</v>
      </c>
      <c r="S87" t="str">
        <f>IF(OR(H87=0,H87=6),"Weekend","Weekday")</f>
        <v>Weekday</v>
      </c>
      <c r="T87" s="1" t="str">
        <f>VLOOKUP(I87,[1]Lookup!$D$2:$E$5,2,FALSE)</f>
        <v>Clear</v>
      </c>
      <c r="U87" s="1" t="str">
        <f>IF(F87&lt;6,"Night",
IF(F87&lt;12,"Morning",
IF(F87&lt;17,"Afternoon",
IF(F87&lt;21,"Evening","Night"))))</f>
        <v>Evening</v>
      </c>
      <c r="V87" s="1" t="str">
        <f>IF(J87&lt;0.3,"Cold",
IF(J87&lt;0.6,"Pleasant","Hot"))</f>
        <v>Cold</v>
      </c>
      <c r="W87" s="1" t="str">
        <f>IF(L87&lt;0.4,"Low",
IF(L87&lt;0.7,"Medium","High"))</f>
        <v>Medium</v>
      </c>
      <c r="X87" s="1" t="str">
        <f>IF(M87&lt;0.2,"Low",
IF(M87&lt;0.4,"Medium","High"))</f>
        <v>Medium</v>
      </c>
      <c r="Y87" s="1" t="str">
        <f>IF(P87&lt;100,"Low",
IF(P87&lt;300,"Medium","High"))</f>
        <v>Medium</v>
      </c>
    </row>
    <row r="88" spans="1:25" x14ac:dyDescent="0.3">
      <c r="A88">
        <v>87</v>
      </c>
      <c r="B88" s="2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 t="str">
        <f>VLOOKUP(MasterData[[#This Row],[season]],[1]Lookup!$A$2:$B$5,2,FALSE)</f>
        <v>Spring</v>
      </c>
      <c r="R88" t="str">
        <f>TEXT(DATE(2026,E88,1),"mmmm")</f>
        <v>January</v>
      </c>
      <c r="S88" t="str">
        <f>IF(OR(H88=0,H88=6),"Weekend","Weekday")</f>
        <v>Weekday</v>
      </c>
      <c r="T88" s="1" t="str">
        <f>VLOOKUP(I88,[1]Lookup!$D$2:$E$5,2,FALSE)</f>
        <v>Clear</v>
      </c>
      <c r="U88" s="1" t="str">
        <f>IF(F88&lt;6,"Night",
IF(F88&lt;12,"Morning",
IF(F88&lt;17,"Afternoon",
IF(F88&lt;21,"Evening","Night"))))</f>
        <v>Evening</v>
      </c>
      <c r="V88" s="1" t="str">
        <f>IF(J88&lt;0.3,"Cold",
IF(J88&lt;0.6,"Pleasant","Hot"))</f>
        <v>Cold</v>
      </c>
      <c r="W88" s="1" t="str">
        <f>IF(L88&lt;0.4,"Low",
IF(L88&lt;0.7,"Medium","High"))</f>
        <v>Medium</v>
      </c>
      <c r="X88" s="1" t="str">
        <f>IF(M88&lt;0.2,"Low",
IF(M88&lt;0.4,"Medium","High"))</f>
        <v>Low</v>
      </c>
      <c r="Y88" s="1" t="str">
        <f>IF(P88&lt;100,"Low",
IF(P88&lt;300,"Medium","High"))</f>
        <v>Medium</v>
      </c>
    </row>
    <row r="89" spans="1:25" x14ac:dyDescent="0.3">
      <c r="A89">
        <v>88</v>
      </c>
      <c r="B89" s="2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 t="str">
        <f>VLOOKUP(MasterData[[#This Row],[season]],[1]Lookup!$A$2:$B$5,2,FALSE)</f>
        <v>Spring</v>
      </c>
      <c r="R89" t="str">
        <f>TEXT(DATE(2026,E89,1),"mmmm")</f>
        <v>January</v>
      </c>
      <c r="S89" t="str">
        <f>IF(OR(H89=0,H89=6),"Weekend","Weekday")</f>
        <v>Weekday</v>
      </c>
      <c r="T89" s="1" t="str">
        <f>VLOOKUP(I89,[1]Lookup!$D$2:$E$5,2,FALSE)</f>
        <v>Clear</v>
      </c>
      <c r="U89" s="1" t="str">
        <f>IF(F89&lt;6,"Night",
IF(F89&lt;12,"Morning",
IF(F89&lt;17,"Afternoon",
IF(F89&lt;21,"Evening","Night"))))</f>
        <v>Evening</v>
      </c>
      <c r="V89" s="1" t="str">
        <f>IF(J89&lt;0.3,"Cold",
IF(J89&lt;0.6,"Pleasant","Hot"))</f>
        <v>Cold</v>
      </c>
      <c r="W89" s="1" t="str">
        <f>IF(L89&lt;0.4,"Low",
IF(L89&lt;0.7,"Medium","High"))</f>
        <v>Medium</v>
      </c>
      <c r="X89" s="1" t="str">
        <f>IF(M89&lt;0.2,"Low",
IF(M89&lt;0.4,"Medium","High"))</f>
        <v>Low</v>
      </c>
      <c r="Y89" s="1" t="str">
        <f>IF(P89&lt;100,"Low",
IF(P89&lt;300,"Medium","High"))</f>
        <v>Medium</v>
      </c>
    </row>
    <row r="90" spans="1:25" x14ac:dyDescent="0.3">
      <c r="A90">
        <v>89</v>
      </c>
      <c r="B90" s="2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  <c r="Q90" t="str">
        <f>VLOOKUP(MasterData[[#This Row],[season]],[1]Lookup!$A$2:$B$5,2,FALSE)</f>
        <v>Spring</v>
      </c>
      <c r="R90" t="str">
        <f>TEXT(DATE(2026,E90,1),"mmmm")</f>
        <v>January</v>
      </c>
      <c r="S90" t="str">
        <f>IF(OR(H90=0,H90=6),"Weekend","Weekday")</f>
        <v>Weekday</v>
      </c>
      <c r="T90" s="1" t="str">
        <f>VLOOKUP(I90,[1]Lookup!$D$2:$E$5,2,FALSE)</f>
        <v>Clear</v>
      </c>
      <c r="U90" s="1" t="str">
        <f>IF(F90&lt;6,"Night",
IF(F90&lt;12,"Morning",
IF(F90&lt;17,"Afternoon",
IF(F90&lt;21,"Evening","Night"))))</f>
        <v>Evening</v>
      </c>
      <c r="V90" s="1" t="str">
        <f>IF(J90&lt;0.3,"Cold",
IF(J90&lt;0.6,"Pleasant","Hot"))</f>
        <v>Cold</v>
      </c>
      <c r="W90" s="1" t="str">
        <f>IF(L90&lt;0.4,"Low",
IF(L90&lt;0.7,"Medium","High"))</f>
        <v>Medium</v>
      </c>
      <c r="X90" s="1" t="str">
        <f>IF(M90&lt;0.2,"Low",
IF(M90&lt;0.4,"Medium","High"))</f>
        <v>Low</v>
      </c>
      <c r="Y90" s="1" t="str">
        <f>IF(P90&lt;100,"Low",
IF(P90&lt;300,"Medium","High"))</f>
        <v>Low</v>
      </c>
    </row>
    <row r="91" spans="1:25" x14ac:dyDescent="0.3">
      <c r="A91">
        <v>90</v>
      </c>
      <c r="B91" s="2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  <c r="Q91" t="str">
        <f>VLOOKUP(MasterData[[#This Row],[season]],[1]Lookup!$A$2:$B$5,2,FALSE)</f>
        <v>Spring</v>
      </c>
      <c r="R91" t="str">
        <f>TEXT(DATE(2026,E91,1),"mmmm")</f>
        <v>January</v>
      </c>
      <c r="S91" t="str">
        <f>IF(OR(H91=0,H91=6),"Weekend","Weekday")</f>
        <v>Weekday</v>
      </c>
      <c r="T91" s="1" t="str">
        <f>VLOOKUP(I91,[1]Lookup!$D$2:$E$5,2,FALSE)</f>
        <v>Clear</v>
      </c>
      <c r="U91" s="1" t="str">
        <f>IF(F91&lt;6,"Night",
IF(F91&lt;12,"Morning",
IF(F91&lt;17,"Afternoon",
IF(F91&lt;21,"Evening","Night"))))</f>
        <v>Night</v>
      </c>
      <c r="V91" s="1" t="str">
        <f>IF(J91&lt;0.3,"Cold",
IF(J91&lt;0.6,"Pleasant","Hot"))</f>
        <v>Cold</v>
      </c>
      <c r="W91" s="1" t="str">
        <f>IF(L91&lt;0.4,"Low",
IF(L91&lt;0.7,"Medium","High"))</f>
        <v>Medium</v>
      </c>
      <c r="X91" s="1" t="str">
        <f>IF(M91&lt;0.2,"Low",
IF(M91&lt;0.4,"Medium","High"))</f>
        <v>Low</v>
      </c>
      <c r="Y91" s="1" t="str">
        <f>IF(P91&lt;100,"Low",
IF(P91&lt;300,"Medium","High"))</f>
        <v>Low</v>
      </c>
    </row>
    <row r="92" spans="1:25" x14ac:dyDescent="0.3">
      <c r="A92">
        <v>91</v>
      </c>
      <c r="B92" s="2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 t="str">
        <f>VLOOKUP(MasterData[[#This Row],[season]],[1]Lookup!$A$2:$B$5,2,FALSE)</f>
        <v>Spring</v>
      </c>
      <c r="R92" t="str">
        <f>TEXT(DATE(2026,E92,1),"mmmm")</f>
        <v>January</v>
      </c>
      <c r="S92" t="str">
        <f>IF(OR(H92=0,H92=6),"Weekend","Weekday")</f>
        <v>Weekday</v>
      </c>
      <c r="T92" s="1" t="str">
        <f>VLOOKUP(I92,[1]Lookup!$D$2:$E$5,2,FALSE)</f>
        <v>Clear</v>
      </c>
      <c r="U92" s="1" t="str">
        <f>IF(F92&lt;6,"Night",
IF(F92&lt;12,"Morning",
IF(F92&lt;17,"Afternoon",
IF(F92&lt;21,"Evening","Night"))))</f>
        <v>Night</v>
      </c>
      <c r="V92" s="1" t="str">
        <f>IF(J92&lt;0.3,"Cold",
IF(J92&lt;0.6,"Pleasant","Hot"))</f>
        <v>Cold</v>
      </c>
      <c r="W92" s="1" t="str">
        <f>IF(L92&lt;0.4,"Low",
IF(L92&lt;0.7,"Medium","High"))</f>
        <v>Medium</v>
      </c>
      <c r="X92" s="1" t="str">
        <f>IF(M92&lt;0.2,"Low",
IF(M92&lt;0.4,"Medium","High"))</f>
        <v>Low</v>
      </c>
      <c r="Y92" s="1" t="str">
        <f>IF(P92&lt;100,"Low",
IF(P92&lt;300,"Medium","High"))</f>
        <v>Low</v>
      </c>
    </row>
    <row r="93" spans="1:25" x14ac:dyDescent="0.3">
      <c r="A93">
        <v>92</v>
      </c>
      <c r="B93" s="2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 t="str">
        <f>VLOOKUP(MasterData[[#This Row],[season]],[1]Lookup!$A$2:$B$5,2,FALSE)</f>
        <v>Spring</v>
      </c>
      <c r="R93" t="str">
        <f>TEXT(DATE(2026,E93,1),"mmmm")</f>
        <v>January</v>
      </c>
      <c r="S93" t="str">
        <f>IF(OR(H93=0,H93=6),"Weekend","Weekday")</f>
        <v>Weekday</v>
      </c>
      <c r="T93" s="1" t="str">
        <f>VLOOKUP(I93,[1]Lookup!$D$2:$E$5,2,FALSE)</f>
        <v>Clear</v>
      </c>
      <c r="U93" s="1" t="str">
        <f>IF(F93&lt;6,"Night",
IF(F93&lt;12,"Morning",
IF(F93&lt;17,"Afternoon",
IF(F93&lt;21,"Evening","Night"))))</f>
        <v>Night</v>
      </c>
      <c r="V93" s="1" t="str">
        <f>IF(J93&lt;0.3,"Cold",
IF(J93&lt;0.6,"Pleasant","Hot"))</f>
        <v>Cold</v>
      </c>
      <c r="W93" s="1" t="str">
        <f>IF(L93&lt;0.4,"Low",
IF(L93&lt;0.7,"Medium","High"))</f>
        <v>Medium</v>
      </c>
      <c r="X93" s="1" t="str">
        <f>IF(M93&lt;0.2,"Low",
IF(M93&lt;0.4,"Medium","High"))</f>
        <v>Low</v>
      </c>
      <c r="Y93" s="1" t="str">
        <f>IF(P93&lt;100,"Low",
IF(P93&lt;300,"Medium","High"))</f>
        <v>Low</v>
      </c>
    </row>
    <row r="94" spans="1:25" x14ac:dyDescent="0.3">
      <c r="A94">
        <v>93</v>
      </c>
      <c r="B94" s="2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  <c r="Q94" t="str">
        <f>VLOOKUP(MasterData[[#This Row],[season]],[1]Lookup!$A$2:$B$5,2,FALSE)</f>
        <v>Spring</v>
      </c>
      <c r="R94" t="str">
        <f>TEXT(DATE(2026,E94,1),"mmmm")</f>
        <v>January</v>
      </c>
      <c r="S94" t="str">
        <f>IF(OR(H94=0,H94=6),"Weekend","Weekday")</f>
        <v>Weekday</v>
      </c>
      <c r="T94" s="1" t="str">
        <f>VLOOKUP(I94,[1]Lookup!$D$2:$E$5,2,FALSE)</f>
        <v>Clear</v>
      </c>
      <c r="U94" s="1" t="str">
        <f>IF(F94&lt;6,"Night",
IF(F94&lt;12,"Morning",
IF(F94&lt;17,"Afternoon",
IF(F94&lt;21,"Evening","Night"))))</f>
        <v>Night</v>
      </c>
      <c r="V94" s="1" t="str">
        <f>IF(J94&lt;0.3,"Cold",
IF(J94&lt;0.6,"Pleasant","Hot"))</f>
        <v>Cold</v>
      </c>
      <c r="W94" s="1" t="str">
        <f>IF(L94&lt;0.4,"Low",
IF(L94&lt;0.7,"Medium","High"))</f>
        <v>Medium</v>
      </c>
      <c r="X94" s="1" t="str">
        <f>IF(M94&lt;0.2,"Low",
IF(M94&lt;0.4,"Medium","High"))</f>
        <v>Low</v>
      </c>
      <c r="Y94" s="1" t="str">
        <f>IF(P94&lt;100,"Low",
IF(P94&lt;300,"Medium","High"))</f>
        <v>Low</v>
      </c>
    </row>
    <row r="95" spans="1:25" x14ac:dyDescent="0.3">
      <c r="A95">
        <v>94</v>
      </c>
      <c r="B95" s="2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 t="str">
        <f>VLOOKUP(MasterData[[#This Row],[season]],[1]Lookup!$A$2:$B$5,2,FALSE)</f>
        <v>Spring</v>
      </c>
      <c r="R95" t="str">
        <f>TEXT(DATE(2026,E95,1),"mmmm")</f>
        <v>January</v>
      </c>
      <c r="S95" t="str">
        <f>IF(OR(H95=0,H95=6),"Weekend","Weekday")</f>
        <v>Weekday</v>
      </c>
      <c r="T95" s="1" t="str">
        <f>VLOOKUP(I95,[1]Lookup!$D$2:$E$5,2,FALSE)</f>
        <v>Clear</v>
      </c>
      <c r="U95" s="1" t="str">
        <f>IF(F95&lt;6,"Night",
IF(F95&lt;12,"Morning",
IF(F95&lt;17,"Afternoon",
IF(F95&lt;21,"Evening","Night"))))</f>
        <v>Night</v>
      </c>
      <c r="V95" s="1" t="str">
        <f>IF(J95&lt;0.3,"Cold",
IF(J95&lt;0.6,"Pleasant","Hot"))</f>
        <v>Cold</v>
      </c>
      <c r="W95" s="1" t="str">
        <f>IF(L95&lt;0.4,"Low",
IF(L95&lt;0.7,"Medium","High"))</f>
        <v>High</v>
      </c>
      <c r="X95" s="1" t="str">
        <f>IF(M95&lt;0.2,"Low",
IF(M95&lt;0.4,"Medium","High"))</f>
        <v>Low</v>
      </c>
      <c r="Y95" s="1" t="str">
        <f>IF(P95&lt;100,"Low",
IF(P95&lt;300,"Medium","High"))</f>
        <v>Low</v>
      </c>
    </row>
    <row r="96" spans="1:25" x14ac:dyDescent="0.3">
      <c r="A96">
        <v>95</v>
      </c>
      <c r="B96" s="2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 t="str">
        <f>VLOOKUP(MasterData[[#This Row],[season]],[1]Lookup!$A$2:$B$5,2,FALSE)</f>
        <v>Spring</v>
      </c>
      <c r="R96" t="str">
        <f>TEXT(DATE(2026,E96,1),"mmmm")</f>
        <v>January</v>
      </c>
      <c r="S96" t="str">
        <f>IF(OR(H96=0,H96=6),"Weekend","Weekday")</f>
        <v>Weekday</v>
      </c>
      <c r="T96" s="1" t="str">
        <f>VLOOKUP(I96,[1]Lookup!$D$2:$E$5,2,FALSE)</f>
        <v>Clear</v>
      </c>
      <c r="U96" s="1" t="str">
        <f>IF(F96&lt;6,"Night",
IF(F96&lt;12,"Morning",
IF(F96&lt;17,"Afternoon",
IF(F96&lt;21,"Evening","Night"))))</f>
        <v>Night</v>
      </c>
      <c r="V96" s="1" t="str">
        <f>IF(J96&lt;0.3,"Cold",
IF(J96&lt;0.6,"Pleasant","Hot"))</f>
        <v>Cold</v>
      </c>
      <c r="W96" s="1" t="str">
        <f>IF(L96&lt;0.4,"Low",
IF(L96&lt;0.7,"Medium","High"))</f>
        <v>High</v>
      </c>
      <c r="X96" s="1" t="str">
        <f>IF(M96&lt;0.2,"Low",
IF(M96&lt;0.4,"Medium","High"))</f>
        <v>Low</v>
      </c>
      <c r="Y96" s="1" t="str">
        <f>IF(P96&lt;100,"Low",
IF(P96&lt;300,"Medium","High"))</f>
        <v>Low</v>
      </c>
    </row>
    <row r="97" spans="1:25" x14ac:dyDescent="0.3">
      <c r="A97">
        <v>96</v>
      </c>
      <c r="B97" s="2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 t="str">
        <f>VLOOKUP(MasterData[[#This Row],[season]],[1]Lookup!$A$2:$B$5,2,FALSE)</f>
        <v>Spring</v>
      </c>
      <c r="R97" t="str">
        <f>TEXT(DATE(2026,E97,1),"mmmm")</f>
        <v>January</v>
      </c>
      <c r="S97" t="str">
        <f>IF(OR(H97=0,H97=6),"Weekend","Weekday")</f>
        <v>Weekday</v>
      </c>
      <c r="T97" s="1" t="str">
        <f>VLOOKUP(I97,[1]Lookup!$D$2:$E$5,2,FALSE)</f>
        <v>Clear</v>
      </c>
      <c r="U97" s="1" t="str">
        <f>IF(F97&lt;6,"Night",
IF(F97&lt;12,"Morning",
IF(F97&lt;17,"Afternoon",
IF(F97&lt;21,"Evening","Night"))))</f>
        <v>Night</v>
      </c>
      <c r="V97" s="1" t="str">
        <f>IF(J97&lt;0.3,"Cold",
IF(J97&lt;0.6,"Pleasant","Hot"))</f>
        <v>Cold</v>
      </c>
      <c r="W97" s="1" t="str">
        <f>IF(L97&lt;0.4,"Low",
IF(L97&lt;0.7,"Medium","High"))</f>
        <v>Medium</v>
      </c>
      <c r="X97" s="1" t="str">
        <f>IF(M97&lt;0.2,"Low",
IF(M97&lt;0.4,"Medium","High"))</f>
        <v>Medium</v>
      </c>
      <c r="Y97" s="1" t="str">
        <f>IF(P97&lt;100,"Low",
IF(P97&lt;300,"Medium","High"))</f>
        <v>Low</v>
      </c>
    </row>
    <row r="98" spans="1:25" x14ac:dyDescent="0.3">
      <c r="A98">
        <v>97</v>
      </c>
      <c r="B98" s="2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 t="str">
        <f>VLOOKUP(MasterData[[#This Row],[season]],[1]Lookup!$A$2:$B$5,2,FALSE)</f>
        <v>Spring</v>
      </c>
      <c r="R98" t="str">
        <f>TEXT(DATE(2026,E98,1),"mmmm")</f>
        <v>January</v>
      </c>
      <c r="S98" t="str">
        <f>IF(OR(H98=0,H98=6),"Weekend","Weekday")</f>
        <v>Weekday</v>
      </c>
      <c r="T98" s="1" t="str">
        <f>VLOOKUP(I98,[1]Lookup!$D$2:$E$5,2,FALSE)</f>
        <v>Clear</v>
      </c>
      <c r="U98" s="1" t="str">
        <f>IF(F98&lt;6,"Night",
IF(F98&lt;12,"Morning",
IF(F98&lt;17,"Afternoon",
IF(F98&lt;21,"Evening","Night"))))</f>
        <v>Night</v>
      </c>
      <c r="V98" s="1" t="str">
        <f>IF(J98&lt;0.3,"Cold",
IF(J98&lt;0.6,"Pleasant","Hot"))</f>
        <v>Cold</v>
      </c>
      <c r="W98" s="1" t="str">
        <f>IF(L98&lt;0.4,"Low",
IF(L98&lt;0.7,"Medium","High"))</f>
        <v>Medium</v>
      </c>
      <c r="X98" s="1" t="str">
        <f>IF(M98&lt;0.2,"Low",
IF(M98&lt;0.4,"Medium","High"))</f>
        <v>Low</v>
      </c>
      <c r="Y98" s="1" t="str">
        <f>IF(P98&lt;100,"Low",
IF(P98&lt;300,"Medium","High"))</f>
        <v>Low</v>
      </c>
    </row>
    <row r="99" spans="1:25" x14ac:dyDescent="0.3">
      <c r="A99">
        <v>98</v>
      </c>
      <c r="B99" s="2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 t="str">
        <f>VLOOKUP(MasterData[[#This Row],[season]],[1]Lookup!$A$2:$B$5,2,FALSE)</f>
        <v>Spring</v>
      </c>
      <c r="R99" t="str">
        <f>TEXT(DATE(2026,E99,1),"mmmm")</f>
        <v>January</v>
      </c>
      <c r="S99" t="str">
        <f>IF(OR(H99=0,H99=6),"Weekend","Weekday")</f>
        <v>Weekday</v>
      </c>
      <c r="T99" s="1" t="str">
        <f>VLOOKUP(I99,[1]Lookup!$D$2:$E$5,2,FALSE)</f>
        <v>Clear</v>
      </c>
      <c r="U99" s="1" t="str">
        <f>IF(F99&lt;6,"Night",
IF(F99&lt;12,"Morning",
IF(F99&lt;17,"Afternoon",
IF(F99&lt;21,"Evening","Night"))))</f>
        <v>Morning</v>
      </c>
      <c r="V99" s="1" t="str">
        <f>IF(J99&lt;0.3,"Cold",
IF(J99&lt;0.6,"Pleasant","Hot"))</f>
        <v>Cold</v>
      </c>
      <c r="W99" s="1" t="str">
        <f>IF(L99&lt;0.4,"Low",
IF(L99&lt;0.7,"Medium","High"))</f>
        <v>Medium</v>
      </c>
      <c r="X99" s="1" t="str">
        <f>IF(M99&lt;0.2,"Low",
IF(M99&lt;0.4,"Medium","High"))</f>
        <v>Medium</v>
      </c>
      <c r="Y99" s="1" t="str">
        <f>IF(P99&lt;100,"Low",
IF(P99&lt;300,"Medium","High"))</f>
        <v>Low</v>
      </c>
    </row>
    <row r="100" spans="1:25" x14ac:dyDescent="0.3">
      <c r="A100">
        <v>99</v>
      </c>
      <c r="B100" s="2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 t="str">
        <f>VLOOKUP(MasterData[[#This Row],[season]],[1]Lookup!$A$2:$B$5,2,FALSE)</f>
        <v>Spring</v>
      </c>
      <c r="R100" t="str">
        <f>TEXT(DATE(2026,E100,1),"mmmm")</f>
        <v>January</v>
      </c>
      <c r="S100" t="str">
        <f>IF(OR(H100=0,H100=6),"Weekend","Weekday")</f>
        <v>Weekday</v>
      </c>
      <c r="T100" s="1" t="str">
        <f>VLOOKUP(I100,[1]Lookup!$D$2:$E$5,2,FALSE)</f>
        <v>Clear</v>
      </c>
      <c r="U100" s="1" t="str">
        <f>IF(F100&lt;6,"Night",
IF(F100&lt;12,"Morning",
IF(F100&lt;17,"Afternoon",
IF(F100&lt;21,"Evening","Night"))))</f>
        <v>Morning</v>
      </c>
      <c r="V100" s="1" t="str">
        <f>IF(J100&lt;0.3,"Cold",
IF(J100&lt;0.6,"Pleasant","Hot"))</f>
        <v>Cold</v>
      </c>
      <c r="W100" s="1" t="str">
        <f>IF(L100&lt;0.4,"Low",
IF(L100&lt;0.7,"Medium","High"))</f>
        <v>Medium</v>
      </c>
      <c r="X100" s="1" t="str">
        <f>IF(M100&lt;0.2,"Low",
IF(M100&lt;0.4,"Medium","High"))</f>
        <v>Low</v>
      </c>
      <c r="Y100" s="1" t="str">
        <f>IF(P100&lt;100,"Low",
IF(P100&lt;300,"Medium","High"))</f>
        <v>Low</v>
      </c>
    </row>
    <row r="101" spans="1:25" x14ac:dyDescent="0.3">
      <c r="A101">
        <v>100</v>
      </c>
      <c r="B101" s="2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 t="str">
        <f>VLOOKUP(MasterData[[#This Row],[season]],[1]Lookup!$A$2:$B$5,2,FALSE)</f>
        <v>Spring</v>
      </c>
      <c r="R101" t="str">
        <f>TEXT(DATE(2026,E101,1),"mmmm")</f>
        <v>January</v>
      </c>
      <c r="S101" t="str">
        <f>IF(OR(H101=0,H101=6),"Weekend","Weekday")</f>
        <v>Weekday</v>
      </c>
      <c r="T101" s="1" t="str">
        <f>VLOOKUP(I101,[1]Lookup!$D$2:$E$5,2,FALSE)</f>
        <v>Clear</v>
      </c>
      <c r="U101" s="1" t="str">
        <f>IF(F101&lt;6,"Night",
IF(F101&lt;12,"Morning",
IF(F101&lt;17,"Afternoon",
IF(F101&lt;21,"Evening","Night"))))</f>
        <v>Morning</v>
      </c>
      <c r="V101" s="1" t="str">
        <f>IF(J101&lt;0.3,"Cold",
IF(J101&lt;0.6,"Pleasant","Hot"))</f>
        <v>Cold</v>
      </c>
      <c r="W101" s="1" t="str">
        <f>IF(L101&lt;0.4,"Low",
IF(L101&lt;0.7,"Medium","High"))</f>
        <v>Medium</v>
      </c>
      <c r="X101" s="1" t="str">
        <f>IF(M101&lt;0.2,"Low",
IF(M101&lt;0.4,"Medium","High"))</f>
        <v>Medium</v>
      </c>
      <c r="Y101" s="1" t="str">
        <f>IF(P101&lt;100,"Low",
IF(P101&lt;300,"Medium","High"))</f>
        <v>Medium</v>
      </c>
    </row>
    <row r="102" spans="1:25" x14ac:dyDescent="0.3">
      <c r="A102">
        <v>101</v>
      </c>
      <c r="B102" s="2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 t="str">
        <f>VLOOKUP(MasterData[[#This Row],[season]],[1]Lookup!$A$2:$B$5,2,FALSE)</f>
        <v>Spring</v>
      </c>
      <c r="R102" t="str">
        <f>TEXT(DATE(2026,E102,1),"mmmm")</f>
        <v>January</v>
      </c>
      <c r="S102" t="str">
        <f>IF(OR(H102=0,H102=6),"Weekend","Weekday")</f>
        <v>Weekday</v>
      </c>
      <c r="T102" s="1" t="str">
        <f>VLOOKUP(I102,[1]Lookup!$D$2:$E$5,2,FALSE)</f>
        <v>Clear</v>
      </c>
      <c r="U102" s="1" t="str">
        <f>IF(F102&lt;6,"Night",
IF(F102&lt;12,"Morning",
IF(F102&lt;17,"Afternoon",
IF(F102&lt;21,"Evening","Night"))))</f>
        <v>Morning</v>
      </c>
      <c r="V102" s="1" t="str">
        <f>IF(J102&lt;0.3,"Cold",
IF(J102&lt;0.6,"Pleasant","Hot"))</f>
        <v>Cold</v>
      </c>
      <c r="W102" s="1" t="str">
        <f>IF(L102&lt;0.4,"Low",
IF(L102&lt;0.7,"Medium","High"))</f>
        <v>Low</v>
      </c>
      <c r="X102" s="1" t="str">
        <f>IF(M102&lt;0.2,"Low",
IF(M102&lt;0.4,"Medium","High"))</f>
        <v>Medium</v>
      </c>
      <c r="Y102" s="1" t="str">
        <f>IF(P102&lt;100,"Low",
IF(P102&lt;300,"Medium","High"))</f>
        <v>Medium</v>
      </c>
    </row>
    <row r="103" spans="1:25" x14ac:dyDescent="0.3">
      <c r="A103">
        <v>102</v>
      </c>
      <c r="B103" s="2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 t="str">
        <f>VLOOKUP(MasterData[[#This Row],[season]],[1]Lookup!$A$2:$B$5,2,FALSE)</f>
        <v>Spring</v>
      </c>
      <c r="R103" t="str">
        <f>TEXT(DATE(2026,E103,1),"mmmm")</f>
        <v>January</v>
      </c>
      <c r="S103" t="str">
        <f>IF(OR(H103=0,H103=6),"Weekend","Weekday")</f>
        <v>Weekday</v>
      </c>
      <c r="T103" s="1" t="str">
        <f>VLOOKUP(I103,[1]Lookup!$D$2:$E$5,2,FALSE)</f>
        <v>Clear</v>
      </c>
      <c r="U103" s="1" t="str">
        <f>IF(F103&lt;6,"Night",
IF(F103&lt;12,"Morning",
IF(F103&lt;17,"Afternoon",
IF(F103&lt;21,"Evening","Night"))))</f>
        <v>Morning</v>
      </c>
      <c r="V103" s="1" t="str">
        <f>IF(J103&lt;0.3,"Cold",
IF(J103&lt;0.6,"Pleasant","Hot"))</f>
        <v>Cold</v>
      </c>
      <c r="W103" s="1" t="str">
        <f>IF(L103&lt;0.4,"Low",
IF(L103&lt;0.7,"Medium","High"))</f>
        <v>Low</v>
      </c>
      <c r="X103" s="1" t="str">
        <f>IF(M103&lt;0.2,"Low",
IF(M103&lt;0.4,"Medium","High"))</f>
        <v>Medium</v>
      </c>
      <c r="Y103" s="1" t="str">
        <f>IF(P103&lt;100,"Low",
IF(P103&lt;300,"Medium","High"))</f>
        <v>Low</v>
      </c>
    </row>
    <row r="104" spans="1:25" x14ac:dyDescent="0.3">
      <c r="A104">
        <v>103</v>
      </c>
      <c r="B104" s="2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 t="str">
        <f>VLOOKUP(MasterData[[#This Row],[season]],[1]Lookup!$A$2:$B$5,2,FALSE)</f>
        <v>Spring</v>
      </c>
      <c r="R104" t="str">
        <f>TEXT(DATE(2026,E104,1),"mmmm")</f>
        <v>January</v>
      </c>
      <c r="S104" t="str">
        <f>IF(OR(H104=0,H104=6),"Weekend","Weekday")</f>
        <v>Weekday</v>
      </c>
      <c r="T104" s="1" t="str">
        <f>VLOOKUP(I104,[1]Lookup!$D$2:$E$5,2,FALSE)</f>
        <v>Clear</v>
      </c>
      <c r="U104" s="1" t="str">
        <f>IF(F104&lt;6,"Night",
IF(F104&lt;12,"Morning",
IF(F104&lt;17,"Afternoon",
IF(F104&lt;21,"Evening","Night"))))</f>
        <v>Morning</v>
      </c>
      <c r="V104" s="1" t="str">
        <f>IF(J104&lt;0.3,"Cold",
IF(J104&lt;0.6,"Pleasant","Hot"))</f>
        <v>Cold</v>
      </c>
      <c r="W104" s="1" t="str">
        <f>IF(L104&lt;0.4,"Low",
IF(L104&lt;0.7,"Medium","High"))</f>
        <v>Low</v>
      </c>
      <c r="X104" s="1" t="str">
        <f>IF(M104&lt;0.2,"Low",
IF(M104&lt;0.4,"Medium","High"))</f>
        <v>Medium</v>
      </c>
      <c r="Y104" s="1" t="str">
        <f>IF(P104&lt;100,"Low",
IF(P104&lt;300,"Medium","High"))</f>
        <v>Low</v>
      </c>
    </row>
    <row r="105" spans="1:25" x14ac:dyDescent="0.3">
      <c r="A105">
        <v>104</v>
      </c>
      <c r="B105" s="2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 t="str">
        <f>VLOOKUP(MasterData[[#This Row],[season]],[1]Lookup!$A$2:$B$5,2,FALSE)</f>
        <v>Spring</v>
      </c>
      <c r="R105" t="str">
        <f>TEXT(DATE(2026,E105,1),"mmmm")</f>
        <v>January</v>
      </c>
      <c r="S105" t="str">
        <f>IF(OR(H105=0,H105=6),"Weekend","Weekday")</f>
        <v>Weekday</v>
      </c>
      <c r="T105" s="1" t="str">
        <f>VLOOKUP(I105,[1]Lookup!$D$2:$E$5,2,FALSE)</f>
        <v>Clear</v>
      </c>
      <c r="U105" s="1" t="str">
        <f>IF(F105&lt;6,"Night",
IF(F105&lt;12,"Morning",
IF(F105&lt;17,"Afternoon",
IF(F105&lt;21,"Evening","Night"))))</f>
        <v>Afternoon</v>
      </c>
      <c r="V105" s="1" t="str">
        <f>IF(J105&lt;0.3,"Cold",
IF(J105&lt;0.6,"Pleasant","Hot"))</f>
        <v>Cold</v>
      </c>
      <c r="W105" s="1" t="str">
        <f>IF(L105&lt;0.4,"Low",
IF(L105&lt;0.7,"Medium","High"))</f>
        <v>Low</v>
      </c>
      <c r="X105" s="1" t="str">
        <f>IF(M105&lt;0.2,"Low",
IF(M105&lt;0.4,"Medium","High"))</f>
        <v>Medium</v>
      </c>
      <c r="Y105" s="1" t="str">
        <f>IF(P105&lt;100,"Low",
IF(P105&lt;300,"Medium","High"))</f>
        <v>Low</v>
      </c>
    </row>
    <row r="106" spans="1:25" x14ac:dyDescent="0.3">
      <c r="A106">
        <v>105</v>
      </c>
      <c r="B106" s="2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 t="str">
        <f>VLOOKUP(MasterData[[#This Row],[season]],[1]Lookup!$A$2:$B$5,2,FALSE)</f>
        <v>Spring</v>
      </c>
      <c r="R106" t="str">
        <f>TEXT(DATE(2026,E106,1),"mmmm")</f>
        <v>January</v>
      </c>
      <c r="S106" t="str">
        <f>IF(OR(H106=0,H106=6),"Weekend","Weekday")</f>
        <v>Weekday</v>
      </c>
      <c r="T106" s="1" t="str">
        <f>VLOOKUP(I106,[1]Lookup!$D$2:$E$5,2,FALSE)</f>
        <v>Clear</v>
      </c>
      <c r="U106" s="1" t="str">
        <f>IF(F106&lt;6,"Night",
IF(F106&lt;12,"Morning",
IF(F106&lt;17,"Afternoon",
IF(F106&lt;21,"Evening","Night"))))</f>
        <v>Afternoon</v>
      </c>
      <c r="V106" s="1" t="str">
        <f>IF(J106&lt;0.3,"Cold",
IF(J106&lt;0.6,"Pleasant","Hot"))</f>
        <v>Cold</v>
      </c>
      <c r="W106" s="1" t="str">
        <f>IF(L106&lt;0.4,"Low",
IF(L106&lt;0.7,"Medium","High"))</f>
        <v>Low</v>
      </c>
      <c r="X106" s="1" t="str">
        <f>IF(M106&lt;0.2,"Low",
IF(M106&lt;0.4,"Medium","High"))</f>
        <v>Medium</v>
      </c>
      <c r="Y106" s="1" t="str">
        <f>IF(P106&lt;100,"Low",
IF(P106&lt;300,"Medium","High"))</f>
        <v>Low</v>
      </c>
    </row>
    <row r="107" spans="1:25" x14ac:dyDescent="0.3">
      <c r="A107">
        <v>106</v>
      </c>
      <c r="B107" s="2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 t="str">
        <f>VLOOKUP(MasterData[[#This Row],[season]],[1]Lookup!$A$2:$B$5,2,FALSE)</f>
        <v>Spring</v>
      </c>
      <c r="R107" t="str">
        <f>TEXT(DATE(2026,E107,1),"mmmm")</f>
        <v>January</v>
      </c>
      <c r="S107" t="str">
        <f>IF(OR(H107=0,H107=6),"Weekend","Weekday")</f>
        <v>Weekday</v>
      </c>
      <c r="T107" s="1" t="str">
        <f>VLOOKUP(I107,[1]Lookup!$D$2:$E$5,2,FALSE)</f>
        <v>Clear</v>
      </c>
      <c r="U107" s="1" t="str">
        <f>IF(F107&lt;6,"Night",
IF(F107&lt;12,"Morning",
IF(F107&lt;17,"Afternoon",
IF(F107&lt;21,"Evening","Night"))))</f>
        <v>Afternoon</v>
      </c>
      <c r="V107" s="1" t="str">
        <f>IF(J107&lt;0.3,"Cold",
IF(J107&lt;0.6,"Pleasant","Hot"))</f>
        <v>Pleasant</v>
      </c>
      <c r="W107" s="1" t="str">
        <f>IF(L107&lt;0.4,"Low",
IF(L107&lt;0.7,"Medium","High"))</f>
        <v>Low</v>
      </c>
      <c r="X107" s="1" t="str">
        <f>IF(M107&lt;0.2,"Low",
IF(M107&lt;0.4,"Medium","High"))</f>
        <v>Low</v>
      </c>
      <c r="Y107" s="1" t="str">
        <f>IF(P107&lt;100,"Low",
IF(P107&lt;300,"Medium","High"))</f>
        <v>Low</v>
      </c>
    </row>
    <row r="108" spans="1:25" x14ac:dyDescent="0.3">
      <c r="A108">
        <v>107</v>
      </c>
      <c r="B108" s="2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 t="str">
        <f>VLOOKUP(MasterData[[#This Row],[season]],[1]Lookup!$A$2:$B$5,2,FALSE)</f>
        <v>Spring</v>
      </c>
      <c r="R108" t="str">
        <f>TEXT(DATE(2026,E108,1),"mmmm")</f>
        <v>January</v>
      </c>
      <c r="S108" t="str">
        <f>IF(OR(H108=0,H108=6),"Weekend","Weekday")</f>
        <v>Weekday</v>
      </c>
      <c r="T108" s="1" t="str">
        <f>VLOOKUP(I108,[1]Lookup!$D$2:$E$5,2,FALSE)</f>
        <v>Clear</v>
      </c>
      <c r="U108" s="1" t="str">
        <f>IF(F108&lt;6,"Night",
IF(F108&lt;12,"Morning",
IF(F108&lt;17,"Afternoon",
IF(F108&lt;21,"Evening","Night"))))</f>
        <v>Afternoon</v>
      </c>
      <c r="V108" s="1" t="str">
        <f>IF(J108&lt;0.3,"Cold",
IF(J108&lt;0.6,"Pleasant","Hot"))</f>
        <v>Pleasant</v>
      </c>
      <c r="W108" s="1" t="str">
        <f>IF(L108&lt;0.4,"Low",
IF(L108&lt;0.7,"Medium","High"))</f>
        <v>Low</v>
      </c>
      <c r="X108" s="1" t="str">
        <f>IF(M108&lt;0.2,"Low",
IF(M108&lt;0.4,"Medium","High"))</f>
        <v>Low</v>
      </c>
      <c r="Y108" s="1" t="str">
        <f>IF(P108&lt;100,"Low",
IF(P108&lt;300,"Medium","High"))</f>
        <v>Low</v>
      </c>
    </row>
    <row r="109" spans="1:25" x14ac:dyDescent="0.3">
      <c r="A109">
        <v>108</v>
      </c>
      <c r="B109" s="2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 t="str">
        <f>VLOOKUP(MasterData[[#This Row],[season]],[1]Lookup!$A$2:$B$5,2,FALSE)</f>
        <v>Spring</v>
      </c>
      <c r="R109" t="str">
        <f>TEXT(DATE(2026,E109,1),"mmmm")</f>
        <v>January</v>
      </c>
      <c r="S109" t="str">
        <f>IF(OR(H109=0,H109=6),"Weekend","Weekday")</f>
        <v>Weekday</v>
      </c>
      <c r="T109" s="1" t="str">
        <f>VLOOKUP(I109,[1]Lookup!$D$2:$E$5,2,FALSE)</f>
        <v>Clear</v>
      </c>
      <c r="U109" s="1" t="str">
        <f>IF(F109&lt;6,"Night",
IF(F109&lt;12,"Morning",
IF(F109&lt;17,"Afternoon",
IF(F109&lt;21,"Evening","Night"))))</f>
        <v>Afternoon</v>
      </c>
      <c r="V109" s="1" t="str">
        <f>IF(J109&lt;0.3,"Cold",
IF(J109&lt;0.6,"Pleasant","Hot"))</f>
        <v>Pleasant</v>
      </c>
      <c r="W109" s="1" t="str">
        <f>IF(L109&lt;0.4,"Low",
IF(L109&lt;0.7,"Medium","High"))</f>
        <v>Low</v>
      </c>
      <c r="X109" s="1" t="str">
        <f>IF(M109&lt;0.2,"Low",
IF(M109&lt;0.4,"Medium","High"))</f>
        <v>Low</v>
      </c>
      <c r="Y109" s="1" t="str">
        <f>IF(P109&lt;100,"Low",
IF(P109&lt;300,"Medium","High"))</f>
        <v>Low</v>
      </c>
    </row>
    <row r="110" spans="1:25" x14ac:dyDescent="0.3">
      <c r="A110">
        <v>109</v>
      </c>
      <c r="B110" s="2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 t="str">
        <f>VLOOKUP(MasterData[[#This Row],[season]],[1]Lookup!$A$2:$B$5,2,FALSE)</f>
        <v>Spring</v>
      </c>
      <c r="R110" t="str">
        <f>TEXT(DATE(2026,E110,1),"mmmm")</f>
        <v>January</v>
      </c>
      <c r="S110" t="str">
        <f>IF(OR(H110=0,H110=6),"Weekend","Weekday")</f>
        <v>Weekday</v>
      </c>
      <c r="T110" s="1" t="str">
        <f>VLOOKUP(I110,[1]Lookup!$D$2:$E$5,2,FALSE)</f>
        <v>Clear</v>
      </c>
      <c r="U110" s="1" t="str">
        <f>IF(F110&lt;6,"Night",
IF(F110&lt;12,"Morning",
IF(F110&lt;17,"Afternoon",
IF(F110&lt;21,"Evening","Night"))))</f>
        <v>Evening</v>
      </c>
      <c r="V110" s="1" t="str">
        <f>IF(J110&lt;0.3,"Cold",
IF(J110&lt;0.6,"Pleasant","Hot"))</f>
        <v>Cold</v>
      </c>
      <c r="W110" s="1" t="str">
        <f>IF(L110&lt;0.4,"Low",
IF(L110&lt;0.7,"Medium","High"))</f>
        <v>Low</v>
      </c>
      <c r="X110" s="1" t="str">
        <f>IF(M110&lt;0.2,"Low",
IF(M110&lt;0.4,"Medium","High"))</f>
        <v>Low</v>
      </c>
      <c r="Y110" s="1" t="str">
        <f>IF(P110&lt;100,"Low",
IF(P110&lt;300,"Medium","High"))</f>
        <v>Medium</v>
      </c>
    </row>
    <row r="111" spans="1:25" x14ac:dyDescent="0.3">
      <c r="A111">
        <v>110</v>
      </c>
      <c r="B111" s="2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 t="str">
        <f>VLOOKUP(MasterData[[#This Row],[season]],[1]Lookup!$A$2:$B$5,2,FALSE)</f>
        <v>Spring</v>
      </c>
      <c r="R111" t="str">
        <f>TEXT(DATE(2026,E111,1),"mmmm")</f>
        <v>January</v>
      </c>
      <c r="S111" t="str">
        <f>IF(OR(H111=0,H111=6),"Weekend","Weekday")</f>
        <v>Weekday</v>
      </c>
      <c r="T111" s="1" t="str">
        <f>VLOOKUP(I111,[1]Lookup!$D$2:$E$5,2,FALSE)</f>
        <v>Clear</v>
      </c>
      <c r="U111" s="1" t="str">
        <f>IF(F111&lt;6,"Night",
IF(F111&lt;12,"Morning",
IF(F111&lt;17,"Afternoon",
IF(F111&lt;21,"Evening","Night"))))</f>
        <v>Evening</v>
      </c>
      <c r="V111" s="1" t="str">
        <f>IF(J111&lt;0.3,"Cold",
IF(J111&lt;0.6,"Pleasant","Hot"))</f>
        <v>Cold</v>
      </c>
      <c r="W111" s="1" t="str">
        <f>IF(L111&lt;0.4,"Low",
IF(L111&lt;0.7,"Medium","High"))</f>
        <v>Low</v>
      </c>
      <c r="X111" s="1" t="str">
        <f>IF(M111&lt;0.2,"Low",
IF(M111&lt;0.4,"Medium","High"))</f>
        <v>Low</v>
      </c>
      <c r="Y111" s="1" t="str">
        <f>IF(P111&lt;100,"Low",
IF(P111&lt;300,"Medium","High"))</f>
        <v>Medium</v>
      </c>
    </row>
    <row r="112" spans="1:25" x14ac:dyDescent="0.3">
      <c r="A112">
        <v>111</v>
      </c>
      <c r="B112" s="2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 t="str">
        <f>VLOOKUP(MasterData[[#This Row],[season]],[1]Lookup!$A$2:$B$5,2,FALSE)</f>
        <v>Spring</v>
      </c>
      <c r="R112" t="str">
        <f>TEXT(DATE(2026,E112,1),"mmmm")</f>
        <v>January</v>
      </c>
      <c r="S112" t="str">
        <f>IF(OR(H112=0,H112=6),"Weekend","Weekday")</f>
        <v>Weekday</v>
      </c>
      <c r="T112" s="1" t="str">
        <f>VLOOKUP(I112,[1]Lookup!$D$2:$E$5,2,FALSE)</f>
        <v>Clear</v>
      </c>
      <c r="U112" s="1" t="str">
        <f>IF(F112&lt;6,"Night",
IF(F112&lt;12,"Morning",
IF(F112&lt;17,"Afternoon",
IF(F112&lt;21,"Evening","Night"))))</f>
        <v>Evening</v>
      </c>
      <c r="V112" s="1" t="str">
        <f>IF(J112&lt;0.3,"Cold",
IF(J112&lt;0.6,"Pleasant","Hot"))</f>
        <v>Cold</v>
      </c>
      <c r="W112" s="1" t="str">
        <f>IF(L112&lt;0.4,"Low",
IF(L112&lt;0.7,"Medium","High"))</f>
        <v>Low</v>
      </c>
      <c r="X112" s="1" t="str">
        <f>IF(M112&lt;0.2,"Low",
IF(M112&lt;0.4,"Medium","High"))</f>
        <v>Low</v>
      </c>
      <c r="Y112" s="1" t="str">
        <f>IF(P112&lt;100,"Low",
IF(P112&lt;300,"Medium","High"))</f>
        <v>Medium</v>
      </c>
    </row>
    <row r="113" spans="1:25" x14ac:dyDescent="0.3">
      <c r="A113">
        <v>112</v>
      </c>
      <c r="B113" s="2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 t="str">
        <f>VLOOKUP(MasterData[[#This Row],[season]],[1]Lookup!$A$2:$B$5,2,FALSE)</f>
        <v>Spring</v>
      </c>
      <c r="R113" t="str">
        <f>TEXT(DATE(2026,E113,1),"mmmm")</f>
        <v>January</v>
      </c>
      <c r="S113" t="str">
        <f>IF(OR(H113=0,H113=6),"Weekend","Weekday")</f>
        <v>Weekday</v>
      </c>
      <c r="T113" s="1" t="str">
        <f>VLOOKUP(I113,[1]Lookup!$D$2:$E$5,2,FALSE)</f>
        <v>Clear</v>
      </c>
      <c r="U113" s="1" t="str">
        <f>IF(F113&lt;6,"Night",
IF(F113&lt;12,"Morning",
IF(F113&lt;17,"Afternoon",
IF(F113&lt;21,"Evening","Night"))))</f>
        <v>Evening</v>
      </c>
      <c r="V113" s="1" t="str">
        <f>IF(J113&lt;0.3,"Cold",
IF(J113&lt;0.6,"Pleasant","Hot"))</f>
        <v>Cold</v>
      </c>
      <c r="W113" s="1" t="str">
        <f>IF(L113&lt;0.4,"Low",
IF(L113&lt;0.7,"Medium","High"))</f>
        <v>Medium</v>
      </c>
      <c r="X113" s="1" t="str">
        <f>IF(M113&lt;0.2,"Low",
IF(M113&lt;0.4,"Medium","High"))</f>
        <v>Low</v>
      </c>
      <c r="Y113" s="1" t="str">
        <f>IF(P113&lt;100,"Low",
IF(P113&lt;300,"Medium","High"))</f>
        <v>Low</v>
      </c>
    </row>
    <row r="114" spans="1:25" x14ac:dyDescent="0.3">
      <c r="A114">
        <v>113</v>
      </c>
      <c r="B114" s="2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 t="str">
        <f>VLOOKUP(MasterData[[#This Row],[season]],[1]Lookup!$A$2:$B$5,2,FALSE)</f>
        <v>Spring</v>
      </c>
      <c r="R114" t="str">
        <f>TEXT(DATE(2026,E114,1),"mmmm")</f>
        <v>January</v>
      </c>
      <c r="S114" t="str">
        <f>IF(OR(H114=0,H114=6),"Weekend","Weekday")</f>
        <v>Weekday</v>
      </c>
      <c r="T114" s="1" t="str">
        <f>VLOOKUP(I114,[1]Lookup!$D$2:$E$5,2,FALSE)</f>
        <v>Clear</v>
      </c>
      <c r="U114" s="1" t="str">
        <f>IF(F114&lt;6,"Night",
IF(F114&lt;12,"Morning",
IF(F114&lt;17,"Afternoon",
IF(F114&lt;21,"Evening","Night"))))</f>
        <v>Night</v>
      </c>
      <c r="V114" s="1" t="str">
        <f>IF(J114&lt;0.3,"Cold",
IF(J114&lt;0.6,"Pleasant","Hot"))</f>
        <v>Cold</v>
      </c>
      <c r="W114" s="1" t="str">
        <f>IF(L114&lt;0.4,"Low",
IF(L114&lt;0.7,"Medium","High"))</f>
        <v>Medium</v>
      </c>
      <c r="X114" s="1" t="str">
        <f>IF(M114&lt;0.2,"Low",
IF(M114&lt;0.4,"Medium","High"))</f>
        <v>Low</v>
      </c>
      <c r="Y114" s="1" t="str">
        <f>IF(P114&lt;100,"Low",
IF(P114&lt;300,"Medium","High"))</f>
        <v>Low</v>
      </c>
    </row>
    <row r="115" spans="1:25" x14ac:dyDescent="0.3">
      <c r="A115">
        <v>114</v>
      </c>
      <c r="B115" s="2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 t="str">
        <f>VLOOKUP(MasterData[[#This Row],[season]],[1]Lookup!$A$2:$B$5,2,FALSE)</f>
        <v>Spring</v>
      </c>
      <c r="R115" t="str">
        <f>TEXT(DATE(2026,E115,1),"mmmm")</f>
        <v>January</v>
      </c>
      <c r="S115" t="str">
        <f>IF(OR(H115=0,H115=6),"Weekend","Weekday")</f>
        <v>Weekday</v>
      </c>
      <c r="T115" s="1" t="str">
        <f>VLOOKUP(I115,[1]Lookup!$D$2:$E$5,2,FALSE)</f>
        <v>Clear</v>
      </c>
      <c r="U115" s="1" t="str">
        <f>IF(F115&lt;6,"Night",
IF(F115&lt;12,"Morning",
IF(F115&lt;17,"Afternoon",
IF(F115&lt;21,"Evening","Night"))))</f>
        <v>Night</v>
      </c>
      <c r="V115" s="1" t="str">
        <f>IF(J115&lt;0.3,"Cold",
IF(J115&lt;0.6,"Pleasant","Hot"))</f>
        <v>Cold</v>
      </c>
      <c r="W115" s="1" t="str">
        <f>IF(L115&lt;0.4,"Low",
IF(L115&lt;0.7,"Medium","High"))</f>
        <v>Medium</v>
      </c>
      <c r="X115" s="1" t="str">
        <f>IF(M115&lt;0.2,"Low",
IF(M115&lt;0.4,"Medium","High"))</f>
        <v>Low</v>
      </c>
      <c r="Y115" s="1" t="str">
        <f>IF(P115&lt;100,"Low",
IF(P115&lt;300,"Medium","High"))</f>
        <v>Low</v>
      </c>
    </row>
    <row r="116" spans="1:25" x14ac:dyDescent="0.3">
      <c r="A116">
        <v>115</v>
      </c>
      <c r="B116" s="2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  <c r="Q116" t="str">
        <f>VLOOKUP(MasterData[[#This Row],[season]],[1]Lookup!$A$2:$B$5,2,FALSE)</f>
        <v>Spring</v>
      </c>
      <c r="R116" t="str">
        <f>TEXT(DATE(2026,E116,1),"mmmm")</f>
        <v>January</v>
      </c>
      <c r="S116" t="str">
        <f>IF(OR(H116=0,H116=6),"Weekend","Weekday")</f>
        <v>Weekday</v>
      </c>
      <c r="T116" s="1" t="str">
        <f>VLOOKUP(I116,[1]Lookup!$D$2:$E$5,2,FALSE)</f>
        <v>Clear</v>
      </c>
      <c r="U116" s="1" t="str">
        <f>IF(F116&lt;6,"Night",
IF(F116&lt;12,"Morning",
IF(F116&lt;17,"Afternoon",
IF(F116&lt;21,"Evening","Night"))))</f>
        <v>Night</v>
      </c>
      <c r="V116" s="1" t="str">
        <f>IF(J116&lt;0.3,"Cold",
IF(J116&lt;0.6,"Pleasant","Hot"))</f>
        <v>Cold</v>
      </c>
      <c r="W116" s="1" t="str">
        <f>IF(L116&lt;0.4,"Low",
IF(L116&lt;0.7,"Medium","High"))</f>
        <v>Medium</v>
      </c>
      <c r="X116" s="1" t="str">
        <f>IF(M116&lt;0.2,"Low",
IF(M116&lt;0.4,"Medium","High"))</f>
        <v>Low</v>
      </c>
      <c r="Y116" s="1" t="str">
        <f>IF(P116&lt;100,"Low",
IF(P116&lt;300,"Medium","High"))</f>
        <v>Low</v>
      </c>
    </row>
    <row r="117" spans="1:25" x14ac:dyDescent="0.3">
      <c r="A117">
        <v>116</v>
      </c>
      <c r="B117" s="2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 t="str">
        <f>VLOOKUP(MasterData[[#This Row],[season]],[1]Lookup!$A$2:$B$5,2,FALSE)</f>
        <v>Spring</v>
      </c>
      <c r="R117" t="str">
        <f>TEXT(DATE(2026,E117,1),"mmmm")</f>
        <v>January</v>
      </c>
      <c r="S117" t="str">
        <f>IF(OR(H117=0,H117=6),"Weekend","Weekday")</f>
        <v>Weekday</v>
      </c>
      <c r="T117" s="1" t="str">
        <f>VLOOKUP(I117,[1]Lookup!$D$2:$E$5,2,FALSE)</f>
        <v>Clear</v>
      </c>
      <c r="U117" s="1" t="str">
        <f>IF(F117&lt;6,"Night",
IF(F117&lt;12,"Morning",
IF(F117&lt;17,"Afternoon",
IF(F117&lt;21,"Evening","Night"))))</f>
        <v>Night</v>
      </c>
      <c r="V117" s="1" t="str">
        <f>IF(J117&lt;0.3,"Cold",
IF(J117&lt;0.6,"Pleasant","Hot"))</f>
        <v>Cold</v>
      </c>
      <c r="W117" s="1" t="str">
        <f>IF(L117&lt;0.4,"Low",
IF(L117&lt;0.7,"Medium","High"))</f>
        <v>Medium</v>
      </c>
      <c r="X117" s="1" t="str">
        <f>IF(M117&lt;0.2,"Low",
IF(M117&lt;0.4,"Medium","High"))</f>
        <v>Low</v>
      </c>
      <c r="Y117" s="1" t="str">
        <f>IF(P117&lt;100,"Low",
IF(P117&lt;300,"Medium","High"))</f>
        <v>Low</v>
      </c>
    </row>
    <row r="118" spans="1:25" x14ac:dyDescent="0.3">
      <c r="A118">
        <v>117</v>
      </c>
      <c r="B118" s="2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 t="str">
        <f>VLOOKUP(MasterData[[#This Row],[season]],[1]Lookup!$A$2:$B$5,2,FALSE)</f>
        <v>Spring</v>
      </c>
      <c r="R118" t="str">
        <f>TEXT(DATE(2026,E118,1),"mmmm")</f>
        <v>January</v>
      </c>
      <c r="S118" t="str">
        <f>IF(OR(H118=0,H118=6),"Weekend","Weekday")</f>
        <v>Weekday</v>
      </c>
      <c r="T118" s="1" t="str">
        <f>VLOOKUP(I118,[1]Lookup!$D$2:$E$5,2,FALSE)</f>
        <v>Clear</v>
      </c>
      <c r="U118" s="1" t="str">
        <f>IF(F118&lt;6,"Night",
IF(F118&lt;12,"Morning",
IF(F118&lt;17,"Afternoon",
IF(F118&lt;21,"Evening","Night"))))</f>
        <v>Night</v>
      </c>
      <c r="V118" s="1" t="str">
        <f>IF(J118&lt;0.3,"Cold",
IF(J118&lt;0.6,"Pleasant","Hot"))</f>
        <v>Cold</v>
      </c>
      <c r="W118" s="1" t="str">
        <f>IF(L118&lt;0.4,"Low",
IF(L118&lt;0.7,"Medium","High"))</f>
        <v>Medium</v>
      </c>
      <c r="X118" s="1" t="str">
        <f>IF(M118&lt;0.2,"Low",
IF(M118&lt;0.4,"Medium","High"))</f>
        <v>Low</v>
      </c>
      <c r="Y118" s="1" t="str">
        <f>IF(P118&lt;100,"Low",
IF(P118&lt;300,"Medium","High"))</f>
        <v>Low</v>
      </c>
    </row>
    <row r="119" spans="1:25" x14ac:dyDescent="0.3">
      <c r="A119">
        <v>118</v>
      </c>
      <c r="B119" s="2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  <c r="Q119" t="str">
        <f>VLOOKUP(MasterData[[#This Row],[season]],[1]Lookup!$A$2:$B$5,2,FALSE)</f>
        <v>Spring</v>
      </c>
      <c r="R119" t="str">
        <f>TEXT(DATE(2026,E119,1),"mmmm")</f>
        <v>January</v>
      </c>
      <c r="S119" t="str">
        <f>IF(OR(H119=0,H119=6),"Weekend","Weekday")</f>
        <v>Weekday</v>
      </c>
      <c r="T119" s="1" t="str">
        <f>VLOOKUP(I119,[1]Lookup!$D$2:$E$5,2,FALSE)</f>
        <v>Clear</v>
      </c>
      <c r="U119" s="1" t="str">
        <f>IF(F119&lt;6,"Night",
IF(F119&lt;12,"Morning",
IF(F119&lt;17,"Afternoon",
IF(F119&lt;21,"Evening","Night"))))</f>
        <v>Night</v>
      </c>
      <c r="V119" s="1" t="str">
        <f>IF(J119&lt;0.3,"Cold",
IF(J119&lt;0.6,"Pleasant","Hot"))</f>
        <v>Cold</v>
      </c>
      <c r="W119" s="1" t="str">
        <f>IF(L119&lt;0.4,"Low",
IF(L119&lt;0.7,"Medium","High"))</f>
        <v>Medium</v>
      </c>
      <c r="X119" s="1" t="str">
        <f>IF(M119&lt;0.2,"Low",
IF(M119&lt;0.4,"Medium","High"))</f>
        <v>Low</v>
      </c>
      <c r="Y119" s="1" t="str">
        <f>IF(P119&lt;100,"Low",
IF(P119&lt;300,"Medium","High"))</f>
        <v>Low</v>
      </c>
    </row>
    <row r="120" spans="1:25" x14ac:dyDescent="0.3">
      <c r="A120">
        <v>119</v>
      </c>
      <c r="B120" s="2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 t="str">
        <f>VLOOKUP(MasterData[[#This Row],[season]],[1]Lookup!$A$2:$B$5,2,FALSE)</f>
        <v>Spring</v>
      </c>
      <c r="R120" t="str">
        <f>TEXT(DATE(2026,E120,1),"mmmm")</f>
        <v>January</v>
      </c>
      <c r="S120" t="str">
        <f>IF(OR(H120=0,H120=6),"Weekend","Weekday")</f>
        <v>Weekday</v>
      </c>
      <c r="T120" s="1" t="str">
        <f>VLOOKUP(I120,[1]Lookup!$D$2:$E$5,2,FALSE)</f>
        <v>Mist / Cloudy</v>
      </c>
      <c r="U120" s="1" t="str">
        <f>IF(F120&lt;6,"Night",
IF(F120&lt;12,"Morning",
IF(F120&lt;17,"Afternoon",
IF(F120&lt;21,"Evening","Night"))))</f>
        <v>Night</v>
      </c>
      <c r="V120" s="1" t="str">
        <f>IF(J120&lt;0.3,"Cold",
IF(J120&lt;0.6,"Pleasant","Hot"))</f>
        <v>Cold</v>
      </c>
      <c r="W120" s="1" t="str">
        <f>IF(L120&lt;0.4,"Low",
IF(L120&lt;0.7,"Medium","High"))</f>
        <v>Medium</v>
      </c>
      <c r="X120" s="1" t="str">
        <f>IF(M120&lt;0.2,"Low",
IF(M120&lt;0.4,"Medium","High"))</f>
        <v>Low</v>
      </c>
      <c r="Y120" s="1" t="str">
        <f>IF(P120&lt;100,"Low",
IF(P120&lt;300,"Medium","High"))</f>
        <v>Low</v>
      </c>
    </row>
    <row r="121" spans="1:25" x14ac:dyDescent="0.3">
      <c r="A121">
        <v>120</v>
      </c>
      <c r="B121" s="2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 t="str">
        <f>VLOOKUP(MasterData[[#This Row],[season]],[1]Lookup!$A$2:$B$5,2,FALSE)</f>
        <v>Spring</v>
      </c>
      <c r="R121" t="str">
        <f>TEXT(DATE(2026,E121,1),"mmmm")</f>
        <v>January</v>
      </c>
      <c r="S121" t="str">
        <f>IF(OR(H121=0,H121=6),"Weekend","Weekday")</f>
        <v>Weekday</v>
      </c>
      <c r="T121" s="1" t="str">
        <f>VLOOKUP(I121,[1]Lookup!$D$2:$E$5,2,FALSE)</f>
        <v>Mist / Cloudy</v>
      </c>
      <c r="U121" s="1" t="str">
        <f>IF(F121&lt;6,"Night",
IF(F121&lt;12,"Morning",
IF(F121&lt;17,"Afternoon",
IF(F121&lt;21,"Evening","Night"))))</f>
        <v>Night</v>
      </c>
      <c r="V121" s="1" t="str">
        <f>IF(J121&lt;0.3,"Cold",
IF(J121&lt;0.6,"Pleasant","Hot"))</f>
        <v>Cold</v>
      </c>
      <c r="W121" s="1" t="str">
        <f>IF(L121&lt;0.4,"Low",
IF(L121&lt;0.7,"Medium","High"))</f>
        <v>Medium</v>
      </c>
      <c r="X121" s="1" t="str">
        <f>IF(M121&lt;0.2,"Low",
IF(M121&lt;0.4,"Medium","High"))</f>
        <v>Low</v>
      </c>
      <c r="Y121" s="1" t="str">
        <f>IF(P121&lt;100,"Low",
IF(P121&lt;300,"Medium","High"))</f>
        <v>Low</v>
      </c>
    </row>
    <row r="122" spans="1:25" x14ac:dyDescent="0.3">
      <c r="A122">
        <v>121</v>
      </c>
      <c r="B122" s="2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  <c r="Q122" t="str">
        <f>VLOOKUP(MasterData[[#This Row],[season]],[1]Lookup!$A$2:$B$5,2,FALSE)</f>
        <v>Spring</v>
      </c>
      <c r="R122" t="str">
        <f>TEXT(DATE(2026,E122,1),"mmmm")</f>
        <v>January</v>
      </c>
      <c r="S122" t="str">
        <f>IF(OR(H122=0,H122=6),"Weekend","Weekday")</f>
        <v>Weekday</v>
      </c>
      <c r="T122" s="1" t="str">
        <f>VLOOKUP(I122,[1]Lookup!$D$2:$E$5,2,FALSE)</f>
        <v>Mist / Cloudy</v>
      </c>
      <c r="U122" s="1" t="str">
        <f>IF(F122&lt;6,"Night",
IF(F122&lt;12,"Morning",
IF(F122&lt;17,"Afternoon",
IF(F122&lt;21,"Evening","Night"))))</f>
        <v>Morning</v>
      </c>
      <c r="V122" s="1" t="str">
        <f>IF(J122&lt;0.3,"Cold",
IF(J122&lt;0.6,"Pleasant","Hot"))</f>
        <v>Cold</v>
      </c>
      <c r="W122" s="1" t="str">
        <f>IF(L122&lt;0.4,"Low",
IF(L122&lt;0.7,"Medium","High"))</f>
        <v>Medium</v>
      </c>
      <c r="X122" s="1" t="str">
        <f>IF(M122&lt;0.2,"Low",
IF(M122&lt;0.4,"Medium","High"))</f>
        <v>Low</v>
      </c>
      <c r="Y122" s="1" t="str">
        <f>IF(P122&lt;100,"Low",
IF(P122&lt;300,"Medium","High"))</f>
        <v>Low</v>
      </c>
    </row>
    <row r="123" spans="1:25" x14ac:dyDescent="0.3">
      <c r="A123">
        <v>122</v>
      </c>
      <c r="B123" s="2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 t="str">
        <f>VLOOKUP(MasterData[[#This Row],[season]],[1]Lookup!$A$2:$B$5,2,FALSE)</f>
        <v>Spring</v>
      </c>
      <c r="R123" t="str">
        <f>TEXT(DATE(2026,E123,1),"mmmm")</f>
        <v>January</v>
      </c>
      <c r="S123" t="str">
        <f>IF(OR(H123=0,H123=6),"Weekend","Weekday")</f>
        <v>Weekday</v>
      </c>
      <c r="T123" s="1" t="str">
        <f>VLOOKUP(I123,[1]Lookup!$D$2:$E$5,2,FALSE)</f>
        <v>Mist / Cloudy</v>
      </c>
      <c r="U123" s="1" t="str">
        <f>IF(F123&lt;6,"Night",
IF(F123&lt;12,"Morning",
IF(F123&lt;17,"Afternoon",
IF(F123&lt;21,"Evening","Night"))))</f>
        <v>Morning</v>
      </c>
      <c r="V123" s="1" t="str">
        <f>IF(J123&lt;0.3,"Cold",
IF(J123&lt;0.6,"Pleasant","Hot"))</f>
        <v>Cold</v>
      </c>
      <c r="W123" s="1" t="str">
        <f>IF(L123&lt;0.4,"Low",
IF(L123&lt;0.7,"Medium","High"))</f>
        <v>Medium</v>
      </c>
      <c r="X123" s="1" t="str">
        <f>IF(M123&lt;0.2,"Low",
IF(M123&lt;0.4,"Medium","High"))</f>
        <v>Low</v>
      </c>
      <c r="Y123" s="1" t="str">
        <f>IF(P123&lt;100,"Low",
IF(P123&lt;300,"Medium","High"))</f>
        <v>Low</v>
      </c>
    </row>
    <row r="124" spans="1:25" x14ac:dyDescent="0.3">
      <c r="A124">
        <v>123</v>
      </c>
      <c r="B124" s="2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  <c r="Q124" t="str">
        <f>VLOOKUP(MasterData[[#This Row],[season]],[1]Lookup!$A$2:$B$5,2,FALSE)</f>
        <v>Spring</v>
      </c>
      <c r="R124" t="str">
        <f>TEXT(DATE(2026,E124,1),"mmmm")</f>
        <v>January</v>
      </c>
      <c r="S124" t="str">
        <f>IF(OR(H124=0,H124=6),"Weekend","Weekday")</f>
        <v>Weekday</v>
      </c>
      <c r="T124" s="1" t="str">
        <f>VLOOKUP(I124,[1]Lookup!$D$2:$E$5,2,FALSE)</f>
        <v>Clear</v>
      </c>
      <c r="U124" s="1" t="str">
        <f>IF(F124&lt;6,"Night",
IF(F124&lt;12,"Morning",
IF(F124&lt;17,"Afternoon",
IF(F124&lt;21,"Evening","Night"))))</f>
        <v>Morning</v>
      </c>
      <c r="V124" s="1" t="str">
        <f>IF(J124&lt;0.3,"Cold",
IF(J124&lt;0.6,"Pleasant","Hot"))</f>
        <v>Cold</v>
      </c>
      <c r="W124" s="1" t="str">
        <f>IF(L124&lt;0.4,"Low",
IF(L124&lt;0.7,"Medium","High"))</f>
        <v>Medium</v>
      </c>
      <c r="X124" s="1" t="str">
        <f>IF(M124&lt;0.2,"Low",
IF(M124&lt;0.4,"Medium","High"))</f>
        <v>Low</v>
      </c>
      <c r="Y124" s="1" t="str">
        <f>IF(P124&lt;100,"Low",
IF(P124&lt;300,"Medium","High"))</f>
        <v>Medium</v>
      </c>
    </row>
    <row r="125" spans="1:25" x14ac:dyDescent="0.3">
      <c r="A125">
        <v>124</v>
      </c>
      <c r="B125" s="2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  <c r="Q125" t="str">
        <f>VLOOKUP(MasterData[[#This Row],[season]],[1]Lookup!$A$2:$B$5,2,FALSE)</f>
        <v>Spring</v>
      </c>
      <c r="R125" t="str">
        <f>TEXT(DATE(2026,E125,1),"mmmm")</f>
        <v>January</v>
      </c>
      <c r="S125" t="str">
        <f>IF(OR(H125=0,H125=6),"Weekend","Weekday")</f>
        <v>Weekday</v>
      </c>
      <c r="T125" s="1" t="str">
        <f>VLOOKUP(I125,[1]Lookup!$D$2:$E$5,2,FALSE)</f>
        <v>Mist / Cloudy</v>
      </c>
      <c r="U125" s="1" t="str">
        <f>IF(F125&lt;6,"Night",
IF(F125&lt;12,"Morning",
IF(F125&lt;17,"Afternoon",
IF(F125&lt;21,"Evening","Night"))))</f>
        <v>Morning</v>
      </c>
      <c r="V125" s="1" t="str">
        <f>IF(J125&lt;0.3,"Cold",
IF(J125&lt;0.6,"Pleasant","Hot"))</f>
        <v>Cold</v>
      </c>
      <c r="W125" s="1" t="str">
        <f>IF(L125&lt;0.4,"Low",
IF(L125&lt;0.7,"Medium","High"))</f>
        <v>Medium</v>
      </c>
      <c r="X125" s="1" t="str">
        <f>IF(M125&lt;0.2,"Low",
IF(M125&lt;0.4,"Medium","High"))</f>
        <v>Low</v>
      </c>
      <c r="Y125" s="1" t="str">
        <f>IF(P125&lt;100,"Low",
IF(P125&lt;300,"Medium","High"))</f>
        <v>Medium</v>
      </c>
    </row>
    <row r="126" spans="1:25" x14ac:dyDescent="0.3">
      <c r="A126">
        <v>125</v>
      </c>
      <c r="B126" s="2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 t="str">
        <f>VLOOKUP(MasterData[[#This Row],[season]],[1]Lookup!$A$2:$B$5,2,FALSE)</f>
        <v>Spring</v>
      </c>
      <c r="R126" t="str">
        <f>TEXT(DATE(2026,E126,1),"mmmm")</f>
        <v>January</v>
      </c>
      <c r="S126" t="str">
        <f>IF(OR(H126=0,H126=6),"Weekend","Weekday")</f>
        <v>Weekday</v>
      </c>
      <c r="T126" s="1" t="str">
        <f>VLOOKUP(I126,[1]Lookup!$D$2:$E$5,2,FALSE)</f>
        <v>Clear</v>
      </c>
      <c r="U126" s="1" t="str">
        <f>IF(F126&lt;6,"Night",
IF(F126&lt;12,"Morning",
IF(F126&lt;17,"Afternoon",
IF(F126&lt;21,"Evening","Night"))))</f>
        <v>Morning</v>
      </c>
      <c r="V126" s="1" t="str">
        <f>IF(J126&lt;0.3,"Cold",
IF(J126&lt;0.6,"Pleasant","Hot"))</f>
        <v>Cold</v>
      </c>
      <c r="W126" s="1" t="str">
        <f>IF(L126&lt;0.4,"Low",
IF(L126&lt;0.7,"Medium","High"))</f>
        <v>Medium</v>
      </c>
      <c r="X126" s="1" t="str">
        <f>IF(M126&lt;0.2,"Low",
IF(M126&lt;0.4,"Medium","High"))</f>
        <v>Low</v>
      </c>
      <c r="Y126" s="1" t="str">
        <f>IF(P126&lt;100,"Low",
IF(P126&lt;300,"Medium","High"))</f>
        <v>Low</v>
      </c>
    </row>
    <row r="127" spans="1:25" x14ac:dyDescent="0.3">
      <c r="A127">
        <v>126</v>
      </c>
      <c r="B127" s="2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 t="str">
        <f>VLOOKUP(MasterData[[#This Row],[season]],[1]Lookup!$A$2:$B$5,2,FALSE)</f>
        <v>Spring</v>
      </c>
      <c r="R127" t="str">
        <f>TEXT(DATE(2026,E127,1),"mmmm")</f>
        <v>January</v>
      </c>
      <c r="S127" t="str">
        <f>IF(OR(H127=0,H127=6),"Weekend","Weekday")</f>
        <v>Weekday</v>
      </c>
      <c r="T127" s="1" t="str">
        <f>VLOOKUP(I127,[1]Lookup!$D$2:$E$5,2,FALSE)</f>
        <v>Clear</v>
      </c>
      <c r="U127" s="1" t="str">
        <f>IF(F127&lt;6,"Night",
IF(F127&lt;12,"Morning",
IF(F127&lt;17,"Afternoon",
IF(F127&lt;21,"Evening","Night"))))</f>
        <v>Morning</v>
      </c>
      <c r="V127" s="1" t="str">
        <f>IF(J127&lt;0.3,"Cold",
IF(J127&lt;0.6,"Pleasant","Hot"))</f>
        <v>Cold</v>
      </c>
      <c r="W127" s="1" t="str">
        <f>IF(L127&lt;0.4,"Low",
IF(L127&lt;0.7,"Medium","High"))</f>
        <v>Medium</v>
      </c>
      <c r="X127" s="1" t="str">
        <f>IF(M127&lt;0.2,"Low",
IF(M127&lt;0.4,"Medium","High"))</f>
        <v>Low</v>
      </c>
      <c r="Y127" s="1" t="str">
        <f>IF(P127&lt;100,"Low",
IF(P127&lt;300,"Medium","High"))</f>
        <v>Low</v>
      </c>
    </row>
    <row r="128" spans="1:25" x14ac:dyDescent="0.3">
      <c r="A128">
        <v>127</v>
      </c>
      <c r="B128" s="2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  <c r="Q128" t="str">
        <f>VLOOKUP(MasterData[[#This Row],[season]],[1]Lookup!$A$2:$B$5,2,FALSE)</f>
        <v>Spring</v>
      </c>
      <c r="R128" t="str">
        <f>TEXT(DATE(2026,E128,1),"mmmm")</f>
        <v>January</v>
      </c>
      <c r="S128" t="str">
        <f>IF(OR(H128=0,H128=6),"Weekend","Weekday")</f>
        <v>Weekday</v>
      </c>
      <c r="T128" s="1" t="str">
        <f>VLOOKUP(I128,[1]Lookup!$D$2:$E$5,2,FALSE)</f>
        <v>Clear</v>
      </c>
      <c r="U128" s="1" t="str">
        <f>IF(F128&lt;6,"Night",
IF(F128&lt;12,"Morning",
IF(F128&lt;17,"Afternoon",
IF(F128&lt;21,"Evening","Night"))))</f>
        <v>Afternoon</v>
      </c>
      <c r="V128" s="1" t="str">
        <f>IF(J128&lt;0.3,"Cold",
IF(J128&lt;0.6,"Pleasant","Hot"))</f>
        <v>Cold</v>
      </c>
      <c r="W128" s="1" t="str">
        <f>IF(L128&lt;0.4,"Low",
IF(L128&lt;0.7,"Medium","High"))</f>
        <v>Low</v>
      </c>
      <c r="X128" s="1" t="str">
        <f>IF(M128&lt;0.2,"Low",
IF(M128&lt;0.4,"Medium","High"))</f>
        <v>Low</v>
      </c>
      <c r="Y128" s="1" t="str">
        <f>IF(P128&lt;100,"Low",
IF(P128&lt;300,"Medium","High"))</f>
        <v>Low</v>
      </c>
    </row>
    <row r="129" spans="1:25" x14ac:dyDescent="0.3">
      <c r="A129">
        <v>128</v>
      </c>
      <c r="B129" s="2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 t="str">
        <f>VLOOKUP(MasterData[[#This Row],[season]],[1]Lookup!$A$2:$B$5,2,FALSE)</f>
        <v>Spring</v>
      </c>
      <c r="R129" t="str">
        <f>TEXT(DATE(2026,E129,1),"mmmm")</f>
        <v>January</v>
      </c>
      <c r="S129" t="str">
        <f>IF(OR(H129=0,H129=6),"Weekend","Weekday")</f>
        <v>Weekday</v>
      </c>
      <c r="T129" s="1" t="str">
        <f>VLOOKUP(I129,[1]Lookup!$D$2:$E$5,2,FALSE)</f>
        <v>Clear</v>
      </c>
      <c r="U129" s="1" t="str">
        <f>IF(F129&lt;6,"Night",
IF(F129&lt;12,"Morning",
IF(F129&lt;17,"Afternoon",
IF(F129&lt;21,"Evening","Night"))))</f>
        <v>Afternoon</v>
      </c>
      <c r="V129" s="1" t="str">
        <f>IF(J129&lt;0.3,"Cold",
IF(J129&lt;0.6,"Pleasant","Hot"))</f>
        <v>Cold</v>
      </c>
      <c r="W129" s="1" t="str">
        <f>IF(L129&lt;0.4,"Low",
IF(L129&lt;0.7,"Medium","High"))</f>
        <v>Low</v>
      </c>
      <c r="X129" s="1" t="str">
        <f>IF(M129&lt;0.2,"Low",
IF(M129&lt;0.4,"Medium","High"))</f>
        <v>Low</v>
      </c>
      <c r="Y129" s="1" t="str">
        <f>IF(P129&lt;100,"Low",
IF(P129&lt;300,"Medium","High"))</f>
        <v>Low</v>
      </c>
    </row>
    <row r="130" spans="1:25" x14ac:dyDescent="0.3">
      <c r="A130">
        <v>129</v>
      </c>
      <c r="B130" s="2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 t="str">
        <f>VLOOKUP(MasterData[[#This Row],[season]],[1]Lookup!$A$2:$B$5,2,FALSE)</f>
        <v>Spring</v>
      </c>
      <c r="R130" t="str">
        <f>TEXT(DATE(2026,E130,1),"mmmm")</f>
        <v>January</v>
      </c>
      <c r="S130" t="str">
        <f>IF(OR(H130=0,H130=6),"Weekend","Weekday")</f>
        <v>Weekday</v>
      </c>
      <c r="T130" s="1" t="str">
        <f>VLOOKUP(I130,[1]Lookup!$D$2:$E$5,2,FALSE)</f>
        <v>Clear</v>
      </c>
      <c r="U130" s="1" t="str">
        <f>IF(F130&lt;6,"Night",
IF(F130&lt;12,"Morning",
IF(F130&lt;17,"Afternoon",
IF(F130&lt;21,"Evening","Night"))))</f>
        <v>Afternoon</v>
      </c>
      <c r="V130" s="1" t="str">
        <f>IF(J130&lt;0.3,"Cold",
IF(J130&lt;0.6,"Pleasant","Hot"))</f>
        <v>Cold</v>
      </c>
      <c r="W130" s="1" t="str">
        <f>IF(L130&lt;0.4,"Low",
IF(L130&lt;0.7,"Medium","High"))</f>
        <v>Low</v>
      </c>
      <c r="X130" s="1" t="str">
        <f>IF(M130&lt;0.2,"Low",
IF(M130&lt;0.4,"Medium","High"))</f>
        <v>Low</v>
      </c>
      <c r="Y130" s="1" t="str">
        <f>IF(P130&lt;100,"Low",
IF(P130&lt;300,"Medium","High"))</f>
        <v>Low</v>
      </c>
    </row>
    <row r="131" spans="1:25" x14ac:dyDescent="0.3">
      <c r="A131">
        <v>130</v>
      </c>
      <c r="B131" s="2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  <c r="Q131" t="str">
        <f>VLOOKUP(MasterData[[#This Row],[season]],[1]Lookup!$A$2:$B$5,2,FALSE)</f>
        <v>Spring</v>
      </c>
      <c r="R131" t="str">
        <f>TEXT(DATE(2026,E131,1),"mmmm")</f>
        <v>January</v>
      </c>
      <c r="S131" t="str">
        <f>IF(OR(H131=0,H131=6),"Weekend","Weekday")</f>
        <v>Weekday</v>
      </c>
      <c r="T131" s="1" t="str">
        <f>VLOOKUP(I131,[1]Lookup!$D$2:$E$5,2,FALSE)</f>
        <v>Clear</v>
      </c>
      <c r="U131" s="1" t="str">
        <f>IF(F131&lt;6,"Night",
IF(F131&lt;12,"Morning",
IF(F131&lt;17,"Afternoon",
IF(F131&lt;21,"Evening","Night"))))</f>
        <v>Afternoon</v>
      </c>
      <c r="V131" s="1" t="str">
        <f>IF(J131&lt;0.3,"Cold",
IF(J131&lt;0.6,"Pleasant","Hot"))</f>
        <v>Cold</v>
      </c>
      <c r="W131" s="1" t="str">
        <f>IF(L131&lt;0.4,"Low",
IF(L131&lt;0.7,"Medium","High"))</f>
        <v>Low</v>
      </c>
      <c r="X131" s="1" t="str">
        <f>IF(M131&lt;0.2,"Low",
IF(M131&lt;0.4,"Medium","High"))</f>
        <v>Low</v>
      </c>
      <c r="Y131" s="1" t="str">
        <f>IF(P131&lt;100,"Low",
IF(P131&lt;300,"Medium","High"))</f>
        <v>Low</v>
      </c>
    </row>
    <row r="132" spans="1:25" x14ac:dyDescent="0.3">
      <c r="A132">
        <v>131</v>
      </c>
      <c r="B132" s="2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 t="str">
        <f>VLOOKUP(MasterData[[#This Row],[season]],[1]Lookup!$A$2:$B$5,2,FALSE)</f>
        <v>Spring</v>
      </c>
      <c r="R132" t="str">
        <f>TEXT(DATE(2026,E132,1),"mmmm")</f>
        <v>January</v>
      </c>
      <c r="S132" t="str">
        <f>IF(OR(H132=0,H132=6),"Weekend","Weekday")</f>
        <v>Weekday</v>
      </c>
      <c r="T132" s="1" t="str">
        <f>VLOOKUP(I132,[1]Lookup!$D$2:$E$5,2,FALSE)</f>
        <v>Clear</v>
      </c>
      <c r="U132" s="1" t="str">
        <f>IF(F132&lt;6,"Night",
IF(F132&lt;12,"Morning",
IF(F132&lt;17,"Afternoon",
IF(F132&lt;21,"Evening","Night"))))</f>
        <v>Afternoon</v>
      </c>
      <c r="V132" s="1" t="str">
        <f>IF(J132&lt;0.3,"Cold",
IF(J132&lt;0.6,"Pleasant","Hot"))</f>
        <v>Cold</v>
      </c>
      <c r="W132" s="1" t="str">
        <f>IF(L132&lt;0.4,"Low",
IF(L132&lt;0.7,"Medium","High"))</f>
        <v>Low</v>
      </c>
      <c r="X132" s="1" t="str">
        <f>IF(M132&lt;0.2,"Low",
IF(M132&lt;0.4,"Medium","High"))</f>
        <v>Low</v>
      </c>
      <c r="Y132" s="1" t="str">
        <f>IF(P132&lt;100,"Low",
IF(P132&lt;300,"Medium","High"))</f>
        <v>Low</v>
      </c>
    </row>
    <row r="133" spans="1:25" x14ac:dyDescent="0.3">
      <c r="A133">
        <v>132</v>
      </c>
      <c r="B133" s="2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 t="str">
        <f>VLOOKUP(MasterData[[#This Row],[season]],[1]Lookup!$A$2:$B$5,2,FALSE)</f>
        <v>Spring</v>
      </c>
      <c r="R133" t="str">
        <f>TEXT(DATE(2026,E133,1),"mmmm")</f>
        <v>January</v>
      </c>
      <c r="S133" t="str">
        <f>IF(OR(H133=0,H133=6),"Weekend","Weekday")</f>
        <v>Weekday</v>
      </c>
      <c r="T133" s="1" t="str">
        <f>VLOOKUP(I133,[1]Lookup!$D$2:$E$5,2,FALSE)</f>
        <v>Clear</v>
      </c>
      <c r="U133" s="1" t="str">
        <f>IF(F133&lt;6,"Night",
IF(F133&lt;12,"Morning",
IF(F133&lt;17,"Afternoon",
IF(F133&lt;21,"Evening","Night"))))</f>
        <v>Evening</v>
      </c>
      <c r="V133" s="1" t="str">
        <f>IF(J133&lt;0.3,"Cold",
IF(J133&lt;0.6,"Pleasant","Hot"))</f>
        <v>Cold</v>
      </c>
      <c r="W133" s="1" t="str">
        <f>IF(L133&lt;0.4,"Low",
IF(L133&lt;0.7,"Medium","High"))</f>
        <v>Medium</v>
      </c>
      <c r="X133" s="1" t="str">
        <f>IF(M133&lt;0.2,"Low",
IF(M133&lt;0.4,"Medium","High"))</f>
        <v>Low</v>
      </c>
      <c r="Y133" s="1" t="str">
        <f>IF(P133&lt;100,"Low",
IF(P133&lt;300,"Medium","High"))</f>
        <v>Medium</v>
      </c>
    </row>
    <row r="134" spans="1:25" x14ac:dyDescent="0.3">
      <c r="A134">
        <v>133</v>
      </c>
      <c r="B134" s="2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 t="str">
        <f>VLOOKUP(MasterData[[#This Row],[season]],[1]Lookup!$A$2:$B$5,2,FALSE)</f>
        <v>Spring</v>
      </c>
      <c r="R134" t="str">
        <f>TEXT(DATE(2026,E134,1),"mmmm")</f>
        <v>January</v>
      </c>
      <c r="S134" t="str">
        <f>IF(OR(H134=0,H134=6),"Weekend","Weekday")</f>
        <v>Weekday</v>
      </c>
      <c r="T134" s="1" t="str">
        <f>VLOOKUP(I134,[1]Lookup!$D$2:$E$5,2,FALSE)</f>
        <v>Clear</v>
      </c>
      <c r="U134" s="1" t="str">
        <f>IF(F134&lt;6,"Night",
IF(F134&lt;12,"Morning",
IF(F134&lt;17,"Afternoon",
IF(F134&lt;21,"Evening","Night"))))</f>
        <v>Evening</v>
      </c>
      <c r="V134" s="1" t="str">
        <f>IF(J134&lt;0.3,"Cold",
IF(J134&lt;0.6,"Pleasant","Hot"))</f>
        <v>Cold</v>
      </c>
      <c r="W134" s="1" t="str">
        <f>IF(L134&lt;0.4,"Low",
IF(L134&lt;0.7,"Medium","High"))</f>
        <v>Medium</v>
      </c>
      <c r="X134" s="1" t="str">
        <f>IF(M134&lt;0.2,"Low",
IF(M134&lt;0.4,"Medium","High"))</f>
        <v>Low</v>
      </c>
      <c r="Y134" s="1" t="str">
        <f>IF(P134&lt;100,"Low",
IF(P134&lt;300,"Medium","High"))</f>
        <v>Medium</v>
      </c>
    </row>
    <row r="135" spans="1:25" x14ac:dyDescent="0.3">
      <c r="A135">
        <v>134</v>
      </c>
      <c r="B135" s="2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 t="str">
        <f>VLOOKUP(MasterData[[#This Row],[season]],[1]Lookup!$A$2:$B$5,2,FALSE)</f>
        <v>Spring</v>
      </c>
      <c r="R135" t="str">
        <f>TEXT(DATE(2026,E135,1),"mmmm")</f>
        <v>January</v>
      </c>
      <c r="S135" t="str">
        <f>IF(OR(H135=0,H135=6),"Weekend","Weekday")</f>
        <v>Weekday</v>
      </c>
      <c r="T135" s="1" t="str">
        <f>VLOOKUP(I135,[1]Lookup!$D$2:$E$5,2,FALSE)</f>
        <v>Clear</v>
      </c>
      <c r="U135" s="1" t="str">
        <f>IF(F135&lt;6,"Night",
IF(F135&lt;12,"Morning",
IF(F135&lt;17,"Afternoon",
IF(F135&lt;21,"Evening","Night"))))</f>
        <v>Evening</v>
      </c>
      <c r="V135" s="1" t="str">
        <f>IF(J135&lt;0.3,"Cold",
IF(J135&lt;0.6,"Pleasant","Hot"))</f>
        <v>Cold</v>
      </c>
      <c r="W135" s="1" t="str">
        <f>IF(L135&lt;0.4,"Low",
IF(L135&lt;0.7,"Medium","High"))</f>
        <v>Medium</v>
      </c>
      <c r="X135" s="1" t="str">
        <f>IF(M135&lt;0.2,"Low",
IF(M135&lt;0.4,"Medium","High"))</f>
        <v>Low</v>
      </c>
      <c r="Y135" s="1" t="str">
        <f>IF(P135&lt;100,"Low",
IF(P135&lt;300,"Medium","High"))</f>
        <v>Medium</v>
      </c>
    </row>
    <row r="136" spans="1:25" x14ac:dyDescent="0.3">
      <c r="A136">
        <v>135</v>
      </c>
      <c r="B136" s="2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 t="str">
        <f>VLOOKUP(MasterData[[#This Row],[season]],[1]Lookup!$A$2:$B$5,2,FALSE)</f>
        <v>Spring</v>
      </c>
      <c r="R136" t="str">
        <f>TEXT(DATE(2026,E136,1),"mmmm")</f>
        <v>January</v>
      </c>
      <c r="S136" t="str">
        <f>IF(OR(H136=0,H136=6),"Weekend","Weekday")</f>
        <v>Weekday</v>
      </c>
      <c r="T136" s="1" t="str">
        <f>VLOOKUP(I136,[1]Lookup!$D$2:$E$5,2,FALSE)</f>
        <v>Clear</v>
      </c>
      <c r="U136" s="1" t="str">
        <f>IF(F136&lt;6,"Night",
IF(F136&lt;12,"Morning",
IF(F136&lt;17,"Afternoon",
IF(F136&lt;21,"Evening","Night"))))</f>
        <v>Evening</v>
      </c>
      <c r="V136" s="1" t="str">
        <f>IF(J136&lt;0.3,"Cold",
IF(J136&lt;0.6,"Pleasant","Hot"))</f>
        <v>Cold</v>
      </c>
      <c r="W136" s="1" t="str">
        <f>IF(L136&lt;0.4,"Low",
IF(L136&lt;0.7,"Medium","High"))</f>
        <v>Medium</v>
      </c>
      <c r="X136" s="1" t="str">
        <f>IF(M136&lt;0.2,"Low",
IF(M136&lt;0.4,"Medium","High"))</f>
        <v>Low</v>
      </c>
      <c r="Y136" s="1" t="str">
        <f>IF(P136&lt;100,"Low",
IF(P136&lt;300,"Medium","High"))</f>
        <v>Low</v>
      </c>
    </row>
    <row r="137" spans="1:25" x14ac:dyDescent="0.3">
      <c r="A137">
        <v>136</v>
      </c>
      <c r="B137" s="2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 t="str">
        <f>VLOOKUP(MasterData[[#This Row],[season]],[1]Lookup!$A$2:$B$5,2,FALSE)</f>
        <v>Spring</v>
      </c>
      <c r="R137" t="str">
        <f>TEXT(DATE(2026,E137,1),"mmmm")</f>
        <v>January</v>
      </c>
      <c r="S137" t="str">
        <f>IF(OR(H137=0,H137=6),"Weekend","Weekday")</f>
        <v>Weekday</v>
      </c>
      <c r="T137" s="1" t="str">
        <f>VLOOKUP(I137,[1]Lookup!$D$2:$E$5,2,FALSE)</f>
        <v>Mist / Cloudy</v>
      </c>
      <c r="U137" s="1" t="str">
        <f>IF(F137&lt;6,"Night",
IF(F137&lt;12,"Morning",
IF(F137&lt;17,"Afternoon",
IF(F137&lt;21,"Evening","Night"))))</f>
        <v>Night</v>
      </c>
      <c r="V137" s="1" t="str">
        <f>IF(J137&lt;0.3,"Cold",
IF(J137&lt;0.6,"Pleasant","Hot"))</f>
        <v>Cold</v>
      </c>
      <c r="W137" s="1" t="str">
        <f>IF(L137&lt;0.4,"Low",
IF(L137&lt;0.7,"Medium","High"))</f>
        <v>Medium</v>
      </c>
      <c r="X137" s="1" t="str">
        <f>IF(M137&lt;0.2,"Low",
IF(M137&lt;0.4,"Medium","High"))</f>
        <v>Medium</v>
      </c>
      <c r="Y137" s="1" t="str">
        <f>IF(P137&lt;100,"Low",
IF(P137&lt;300,"Medium","High"))</f>
        <v>Low</v>
      </c>
    </row>
    <row r="138" spans="1:25" x14ac:dyDescent="0.3">
      <c r="A138">
        <v>137</v>
      </c>
      <c r="B138" s="2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 t="str">
        <f>VLOOKUP(MasterData[[#This Row],[season]],[1]Lookup!$A$2:$B$5,2,FALSE)</f>
        <v>Spring</v>
      </c>
      <c r="R138" t="str">
        <f>TEXT(DATE(2026,E138,1),"mmmm")</f>
        <v>January</v>
      </c>
      <c r="S138" t="str">
        <f>IF(OR(H138=0,H138=6),"Weekend","Weekday")</f>
        <v>Weekday</v>
      </c>
      <c r="T138" s="1" t="str">
        <f>VLOOKUP(I138,[1]Lookup!$D$2:$E$5,2,FALSE)</f>
        <v>Mist / Cloudy</v>
      </c>
      <c r="U138" s="1" t="str">
        <f>IF(F138&lt;6,"Night",
IF(F138&lt;12,"Morning",
IF(F138&lt;17,"Afternoon",
IF(F138&lt;21,"Evening","Night"))))</f>
        <v>Night</v>
      </c>
      <c r="V138" s="1" t="str">
        <f>IF(J138&lt;0.3,"Cold",
IF(J138&lt;0.6,"Pleasant","Hot"))</f>
        <v>Cold</v>
      </c>
      <c r="W138" s="1" t="str">
        <f>IF(L138&lt;0.4,"Low",
IF(L138&lt;0.7,"Medium","High"))</f>
        <v>Medium</v>
      </c>
      <c r="X138" s="1" t="str">
        <f>IF(M138&lt;0.2,"Low",
IF(M138&lt;0.4,"Medium","High"))</f>
        <v>Medium</v>
      </c>
      <c r="Y138" s="1" t="str">
        <f>IF(P138&lt;100,"Low",
IF(P138&lt;300,"Medium","High"))</f>
        <v>Low</v>
      </c>
    </row>
    <row r="139" spans="1:25" x14ac:dyDescent="0.3">
      <c r="A139">
        <v>138</v>
      </c>
      <c r="B139" s="2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 t="str">
        <f>VLOOKUP(MasterData[[#This Row],[season]],[1]Lookup!$A$2:$B$5,2,FALSE)</f>
        <v>Spring</v>
      </c>
      <c r="R139" t="str">
        <f>TEXT(DATE(2026,E139,1),"mmmm")</f>
        <v>January</v>
      </c>
      <c r="S139" t="str">
        <f>IF(OR(H139=0,H139=6),"Weekend","Weekday")</f>
        <v>Weekday</v>
      </c>
      <c r="T139" s="1" t="str">
        <f>VLOOKUP(I139,[1]Lookup!$D$2:$E$5,2,FALSE)</f>
        <v>Mist / Cloudy</v>
      </c>
      <c r="U139" s="1" t="str">
        <f>IF(F139&lt;6,"Night",
IF(F139&lt;12,"Morning",
IF(F139&lt;17,"Afternoon",
IF(F139&lt;21,"Evening","Night"))))</f>
        <v>Night</v>
      </c>
      <c r="V139" s="1" t="str">
        <f>IF(J139&lt;0.3,"Cold",
IF(J139&lt;0.6,"Pleasant","Hot"))</f>
        <v>Cold</v>
      </c>
      <c r="W139" s="1" t="str">
        <f>IF(L139&lt;0.4,"Low",
IF(L139&lt;0.7,"Medium","High"))</f>
        <v>Medium</v>
      </c>
      <c r="X139" s="1" t="str">
        <f>IF(M139&lt;0.2,"Low",
IF(M139&lt;0.4,"Medium","High"))</f>
        <v>Low</v>
      </c>
      <c r="Y139" s="1" t="str">
        <f>IF(P139&lt;100,"Low",
IF(P139&lt;300,"Medium","High"))</f>
        <v>Low</v>
      </c>
    </row>
    <row r="140" spans="1:25" x14ac:dyDescent="0.3">
      <c r="A140">
        <v>139</v>
      </c>
      <c r="B140" s="2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 t="str">
        <f>VLOOKUP(MasterData[[#This Row],[season]],[1]Lookup!$A$2:$B$5,2,FALSE)</f>
        <v>Spring</v>
      </c>
      <c r="R140" t="str">
        <f>TEXT(DATE(2026,E140,1),"mmmm")</f>
        <v>January</v>
      </c>
      <c r="S140" t="str">
        <f>IF(OR(H140=0,H140=6),"Weekend","Weekday")</f>
        <v>Weekday</v>
      </c>
      <c r="T140" s="1" t="str">
        <f>VLOOKUP(I140,[1]Lookup!$D$2:$E$5,2,FALSE)</f>
        <v>Mist / Cloudy</v>
      </c>
      <c r="U140" s="1" t="str">
        <f>IF(F140&lt;6,"Night",
IF(F140&lt;12,"Morning",
IF(F140&lt;17,"Afternoon",
IF(F140&lt;21,"Evening","Night"))))</f>
        <v>Night</v>
      </c>
      <c r="V140" s="1" t="str">
        <f>IF(J140&lt;0.3,"Cold",
IF(J140&lt;0.6,"Pleasant","Hot"))</f>
        <v>Cold</v>
      </c>
      <c r="W140" s="1" t="str">
        <f>IF(L140&lt;0.4,"Low",
IF(L140&lt;0.7,"Medium","High"))</f>
        <v>Medium</v>
      </c>
      <c r="X140" s="1" t="str">
        <f>IF(M140&lt;0.2,"Low",
IF(M140&lt;0.4,"Medium","High"))</f>
        <v>Low</v>
      </c>
      <c r="Y140" s="1" t="str">
        <f>IF(P140&lt;100,"Low",
IF(P140&lt;300,"Medium","High"))</f>
        <v>Low</v>
      </c>
    </row>
    <row r="141" spans="1:25" x14ac:dyDescent="0.3">
      <c r="A141">
        <v>140</v>
      </c>
      <c r="B141" s="2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 t="str">
        <f>VLOOKUP(MasterData[[#This Row],[season]],[1]Lookup!$A$2:$B$5,2,FALSE)</f>
        <v>Spring</v>
      </c>
      <c r="R141" t="str">
        <f>TEXT(DATE(2026,E141,1),"mmmm")</f>
        <v>January</v>
      </c>
      <c r="S141" t="str">
        <f>IF(OR(H141=0,H141=6),"Weekend","Weekday")</f>
        <v>Weekday</v>
      </c>
      <c r="T141" s="1" t="str">
        <f>VLOOKUP(I141,[1]Lookup!$D$2:$E$5,2,FALSE)</f>
        <v>Mist / Cloudy</v>
      </c>
      <c r="U141" s="1" t="str">
        <f>IF(F141&lt;6,"Night",
IF(F141&lt;12,"Morning",
IF(F141&lt;17,"Afternoon",
IF(F141&lt;21,"Evening","Night"))))</f>
        <v>Night</v>
      </c>
      <c r="V141" s="1" t="str">
        <f>IF(J141&lt;0.3,"Cold",
IF(J141&lt;0.6,"Pleasant","Hot"))</f>
        <v>Cold</v>
      </c>
      <c r="W141" s="1" t="str">
        <f>IF(L141&lt;0.4,"Low",
IF(L141&lt;0.7,"Medium","High"))</f>
        <v>Medium</v>
      </c>
      <c r="X141" s="1" t="str">
        <f>IF(M141&lt;0.2,"Low",
IF(M141&lt;0.4,"Medium","High"))</f>
        <v>Medium</v>
      </c>
      <c r="Y141" s="1" t="str">
        <f>IF(P141&lt;100,"Low",
IF(P141&lt;300,"Medium","High"))</f>
        <v>Low</v>
      </c>
    </row>
    <row r="142" spans="1:25" x14ac:dyDescent="0.3">
      <c r="A142">
        <v>141</v>
      </c>
      <c r="B142" s="2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 t="str">
        <f>VLOOKUP(MasterData[[#This Row],[season]],[1]Lookup!$A$2:$B$5,2,FALSE)</f>
        <v>Spring</v>
      </c>
      <c r="R142" t="str">
        <f>TEXT(DATE(2026,E142,1),"mmmm")</f>
        <v>January</v>
      </c>
      <c r="S142" t="str">
        <f>IF(OR(H142=0,H142=6),"Weekend","Weekday")</f>
        <v>Weekday</v>
      </c>
      <c r="T142" s="1" t="str">
        <f>VLOOKUP(I142,[1]Lookup!$D$2:$E$5,2,FALSE)</f>
        <v>Mist / Cloudy</v>
      </c>
      <c r="U142" s="1" t="str">
        <f>IF(F142&lt;6,"Night",
IF(F142&lt;12,"Morning",
IF(F142&lt;17,"Afternoon",
IF(F142&lt;21,"Evening","Night"))))</f>
        <v>Night</v>
      </c>
      <c r="V142" s="1" t="str">
        <f>IF(J142&lt;0.3,"Cold",
IF(J142&lt;0.6,"Pleasant","Hot"))</f>
        <v>Cold</v>
      </c>
      <c r="W142" s="1" t="str">
        <f>IF(L142&lt;0.4,"Low",
IF(L142&lt;0.7,"Medium","High"))</f>
        <v>Medium</v>
      </c>
      <c r="X142" s="1" t="str">
        <f>IF(M142&lt;0.2,"Low",
IF(M142&lt;0.4,"Medium","High"))</f>
        <v>Medium</v>
      </c>
      <c r="Y142" s="1" t="str">
        <f>IF(P142&lt;100,"Low",
IF(P142&lt;300,"Medium","High"))</f>
        <v>Low</v>
      </c>
    </row>
    <row r="143" spans="1:25" x14ac:dyDescent="0.3">
      <c r="A143">
        <v>142</v>
      </c>
      <c r="B143" s="2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  <c r="Q143" t="str">
        <f>VLOOKUP(MasterData[[#This Row],[season]],[1]Lookup!$A$2:$B$5,2,FALSE)</f>
        <v>Spring</v>
      </c>
      <c r="R143" t="str">
        <f>TEXT(DATE(2026,E143,1),"mmmm")</f>
        <v>January</v>
      </c>
      <c r="S143" t="str">
        <f>IF(OR(H143=0,H143=6),"Weekend","Weekday")</f>
        <v>Weekday</v>
      </c>
      <c r="T143" s="1" t="str">
        <f>VLOOKUP(I143,[1]Lookup!$D$2:$E$5,2,FALSE)</f>
        <v>Mist / Cloudy</v>
      </c>
      <c r="U143" s="1" t="str">
        <f>IF(F143&lt;6,"Night",
IF(F143&lt;12,"Morning",
IF(F143&lt;17,"Afternoon",
IF(F143&lt;21,"Evening","Night"))))</f>
        <v>Night</v>
      </c>
      <c r="V143" s="1" t="str">
        <f>IF(J143&lt;0.3,"Cold",
IF(J143&lt;0.6,"Pleasant","Hot"))</f>
        <v>Cold</v>
      </c>
      <c r="W143" s="1" t="str">
        <f>IF(L143&lt;0.4,"Low",
IF(L143&lt;0.7,"Medium","High"))</f>
        <v>Medium</v>
      </c>
      <c r="X143" s="1" t="str">
        <f>IF(M143&lt;0.2,"Low",
IF(M143&lt;0.4,"Medium","High"))</f>
        <v>Low</v>
      </c>
      <c r="Y143" s="1" t="str">
        <f>IF(P143&lt;100,"Low",
IF(P143&lt;300,"Medium","High"))</f>
        <v>Low</v>
      </c>
    </row>
    <row r="144" spans="1:25" x14ac:dyDescent="0.3">
      <c r="A144">
        <v>143</v>
      </c>
      <c r="B144" s="2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 t="str">
        <f>VLOOKUP(MasterData[[#This Row],[season]],[1]Lookup!$A$2:$B$5,2,FALSE)</f>
        <v>Spring</v>
      </c>
      <c r="R144" t="str">
        <f>TEXT(DATE(2026,E144,1),"mmmm")</f>
        <v>January</v>
      </c>
      <c r="S144" t="str">
        <f>IF(OR(H144=0,H144=6),"Weekend","Weekday")</f>
        <v>Weekday</v>
      </c>
      <c r="T144" s="1" t="str">
        <f>VLOOKUP(I144,[1]Lookup!$D$2:$E$5,2,FALSE)</f>
        <v>Light Rain / Snow</v>
      </c>
      <c r="U144" s="1" t="str">
        <f>IF(F144&lt;6,"Night",
IF(F144&lt;12,"Morning",
IF(F144&lt;17,"Afternoon",
IF(F144&lt;21,"Evening","Night"))))</f>
        <v>Night</v>
      </c>
      <c r="V144" s="1" t="str">
        <f>IF(J144&lt;0.3,"Cold",
IF(J144&lt;0.6,"Pleasant","Hot"))</f>
        <v>Cold</v>
      </c>
      <c r="W144" s="1" t="str">
        <f>IF(L144&lt;0.4,"Low",
IF(L144&lt;0.7,"Medium","High"))</f>
        <v>Medium</v>
      </c>
      <c r="X144" s="1" t="str">
        <f>IF(M144&lt;0.2,"Low",
IF(M144&lt;0.4,"Medium","High"))</f>
        <v>Low</v>
      </c>
      <c r="Y144" s="1" t="str">
        <f>IF(P144&lt;100,"Low",
IF(P144&lt;300,"Medium","High"))</f>
        <v>Low</v>
      </c>
    </row>
    <row r="145" spans="1:25" x14ac:dyDescent="0.3">
      <c r="A145">
        <v>144</v>
      </c>
      <c r="B145" s="2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  <c r="Q145" t="str">
        <f>VLOOKUP(MasterData[[#This Row],[season]],[1]Lookup!$A$2:$B$5,2,FALSE)</f>
        <v>Spring</v>
      </c>
      <c r="R145" t="str">
        <f>TEXT(DATE(2026,E145,1),"mmmm")</f>
        <v>January</v>
      </c>
      <c r="S145" t="str">
        <f>IF(OR(H145=0,H145=6),"Weekend","Weekday")</f>
        <v>Weekday</v>
      </c>
      <c r="T145" s="1" t="str">
        <f>VLOOKUP(I145,[1]Lookup!$D$2:$E$5,2,FALSE)</f>
        <v>Mist / Cloudy</v>
      </c>
      <c r="U145" s="1" t="str">
        <f>IF(F145&lt;6,"Night",
IF(F145&lt;12,"Morning",
IF(F145&lt;17,"Afternoon",
IF(F145&lt;21,"Evening","Night"))))</f>
        <v>Morning</v>
      </c>
      <c r="V145" s="1" t="str">
        <f>IF(J145&lt;0.3,"Cold",
IF(J145&lt;0.6,"Pleasant","Hot"))</f>
        <v>Cold</v>
      </c>
      <c r="W145" s="1" t="str">
        <f>IF(L145&lt;0.4,"Low",
IF(L145&lt;0.7,"Medium","High"))</f>
        <v>Medium</v>
      </c>
      <c r="X145" s="1" t="str">
        <f>IF(M145&lt;0.2,"Low",
IF(M145&lt;0.4,"Medium","High"))</f>
        <v>Low</v>
      </c>
      <c r="Y145" s="1" t="str">
        <f>IF(P145&lt;100,"Low",
IF(P145&lt;300,"Medium","High"))</f>
        <v>Low</v>
      </c>
    </row>
    <row r="146" spans="1:25" x14ac:dyDescent="0.3">
      <c r="A146">
        <v>145</v>
      </c>
      <c r="B146" s="2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 t="str">
        <f>VLOOKUP(MasterData[[#This Row],[season]],[1]Lookup!$A$2:$B$5,2,FALSE)</f>
        <v>Spring</v>
      </c>
      <c r="R146" t="str">
        <f>TEXT(DATE(2026,E146,1),"mmmm")</f>
        <v>January</v>
      </c>
      <c r="S146" t="str">
        <f>IF(OR(H146=0,H146=6),"Weekend","Weekday")</f>
        <v>Weekday</v>
      </c>
      <c r="T146" s="1" t="str">
        <f>VLOOKUP(I146,[1]Lookup!$D$2:$E$5,2,FALSE)</f>
        <v>Clear</v>
      </c>
      <c r="U146" s="1" t="str">
        <f>IF(F146&lt;6,"Night",
IF(F146&lt;12,"Morning",
IF(F146&lt;17,"Afternoon",
IF(F146&lt;21,"Evening","Night"))))</f>
        <v>Morning</v>
      </c>
      <c r="V146" s="1" t="str">
        <f>IF(J146&lt;0.3,"Cold",
IF(J146&lt;0.6,"Pleasant","Hot"))</f>
        <v>Cold</v>
      </c>
      <c r="W146" s="1" t="str">
        <f>IF(L146&lt;0.4,"Low",
IF(L146&lt;0.7,"Medium","High"))</f>
        <v>Medium</v>
      </c>
      <c r="X146" s="1" t="str">
        <f>IF(M146&lt;0.2,"Low",
IF(M146&lt;0.4,"Medium","High"))</f>
        <v>Low</v>
      </c>
      <c r="Y146" s="1" t="str">
        <f>IF(P146&lt;100,"Low",
IF(P146&lt;300,"Medium","High"))</f>
        <v>Low</v>
      </c>
    </row>
    <row r="147" spans="1:25" x14ac:dyDescent="0.3">
      <c r="A147">
        <v>146</v>
      </c>
      <c r="B147" s="2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 t="str">
        <f>VLOOKUP(MasterData[[#This Row],[season]],[1]Lookup!$A$2:$B$5,2,FALSE)</f>
        <v>Spring</v>
      </c>
      <c r="R147" t="str">
        <f>TEXT(DATE(2026,E147,1),"mmmm")</f>
        <v>January</v>
      </c>
      <c r="S147" t="str">
        <f>IF(OR(H147=0,H147=6),"Weekend","Weekday")</f>
        <v>Weekday</v>
      </c>
      <c r="T147" s="1" t="str">
        <f>VLOOKUP(I147,[1]Lookup!$D$2:$E$5,2,FALSE)</f>
        <v>Clear</v>
      </c>
      <c r="U147" s="1" t="str">
        <f>IF(F147&lt;6,"Night",
IF(F147&lt;12,"Morning",
IF(F147&lt;17,"Afternoon",
IF(F147&lt;21,"Evening","Night"))))</f>
        <v>Morning</v>
      </c>
      <c r="V147" s="1" t="str">
        <f>IF(J147&lt;0.3,"Cold",
IF(J147&lt;0.6,"Pleasant","Hot"))</f>
        <v>Cold</v>
      </c>
      <c r="W147" s="1" t="str">
        <f>IF(L147&lt;0.4,"Low",
IF(L147&lt;0.7,"Medium","High"))</f>
        <v>Medium</v>
      </c>
      <c r="X147" s="1" t="str">
        <f>IF(M147&lt;0.2,"Low",
IF(M147&lt;0.4,"Medium","High"))</f>
        <v>Medium</v>
      </c>
      <c r="Y147" s="1" t="str">
        <f>IF(P147&lt;100,"Low",
IF(P147&lt;300,"Medium","High"))</f>
        <v>Medium</v>
      </c>
    </row>
    <row r="148" spans="1:25" x14ac:dyDescent="0.3">
      <c r="A148">
        <v>147</v>
      </c>
      <c r="B148" s="2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 t="str">
        <f>VLOOKUP(MasterData[[#This Row],[season]],[1]Lookup!$A$2:$B$5,2,FALSE)</f>
        <v>Spring</v>
      </c>
      <c r="R148" t="str">
        <f>TEXT(DATE(2026,E148,1),"mmmm")</f>
        <v>January</v>
      </c>
      <c r="S148" t="str">
        <f>IF(OR(H148=0,H148=6),"Weekend","Weekday")</f>
        <v>Weekday</v>
      </c>
      <c r="T148" s="1" t="str">
        <f>VLOOKUP(I148,[1]Lookup!$D$2:$E$5,2,FALSE)</f>
        <v>Clear</v>
      </c>
      <c r="U148" s="1" t="str">
        <f>IF(F148&lt;6,"Night",
IF(F148&lt;12,"Morning",
IF(F148&lt;17,"Afternoon",
IF(F148&lt;21,"Evening","Night"))))</f>
        <v>Morning</v>
      </c>
      <c r="V148" s="1" t="str">
        <f>IF(J148&lt;0.3,"Cold",
IF(J148&lt;0.6,"Pleasant","Hot"))</f>
        <v>Cold</v>
      </c>
      <c r="W148" s="1" t="str">
        <f>IF(L148&lt;0.4,"Low",
IF(L148&lt;0.7,"Medium","High"))</f>
        <v>Medium</v>
      </c>
      <c r="X148" s="1" t="str">
        <f>IF(M148&lt;0.2,"Low",
IF(M148&lt;0.4,"Medium","High"))</f>
        <v>Medium</v>
      </c>
      <c r="Y148" s="1" t="str">
        <f>IF(P148&lt;100,"Low",
IF(P148&lt;300,"Medium","High"))</f>
        <v>Medium</v>
      </c>
    </row>
    <row r="149" spans="1:25" x14ac:dyDescent="0.3">
      <c r="A149">
        <v>148</v>
      </c>
      <c r="B149" s="2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 t="str">
        <f>VLOOKUP(MasterData[[#This Row],[season]],[1]Lookup!$A$2:$B$5,2,FALSE)</f>
        <v>Spring</v>
      </c>
      <c r="R149" t="str">
        <f>TEXT(DATE(2026,E149,1),"mmmm")</f>
        <v>January</v>
      </c>
      <c r="S149" t="str">
        <f>IF(OR(H149=0,H149=6),"Weekend","Weekday")</f>
        <v>Weekday</v>
      </c>
      <c r="T149" s="1" t="str">
        <f>VLOOKUP(I149,[1]Lookup!$D$2:$E$5,2,FALSE)</f>
        <v>Clear</v>
      </c>
      <c r="U149" s="1" t="str">
        <f>IF(F149&lt;6,"Night",
IF(F149&lt;12,"Morning",
IF(F149&lt;17,"Afternoon",
IF(F149&lt;21,"Evening","Night"))))</f>
        <v>Morning</v>
      </c>
      <c r="V149" s="1" t="str">
        <f>IF(J149&lt;0.3,"Cold",
IF(J149&lt;0.6,"Pleasant","Hot"))</f>
        <v>Cold</v>
      </c>
      <c r="W149" s="1" t="str">
        <f>IF(L149&lt;0.4,"Low",
IF(L149&lt;0.7,"Medium","High"))</f>
        <v>Low</v>
      </c>
      <c r="X149" s="1" t="str">
        <f>IF(M149&lt;0.2,"Low",
IF(M149&lt;0.4,"Medium","High"))</f>
        <v>Medium</v>
      </c>
      <c r="Y149" s="1" t="str">
        <f>IF(P149&lt;100,"Low",
IF(P149&lt;300,"Medium","High"))</f>
        <v>Low</v>
      </c>
    </row>
    <row r="150" spans="1:25" x14ac:dyDescent="0.3">
      <c r="A150">
        <v>149</v>
      </c>
      <c r="B150" s="2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 t="str">
        <f>VLOOKUP(MasterData[[#This Row],[season]],[1]Lookup!$A$2:$B$5,2,FALSE)</f>
        <v>Spring</v>
      </c>
      <c r="R150" t="str">
        <f>TEXT(DATE(2026,E150,1),"mmmm")</f>
        <v>January</v>
      </c>
      <c r="S150" t="str">
        <f>IF(OR(H150=0,H150=6),"Weekend","Weekday")</f>
        <v>Weekday</v>
      </c>
      <c r="T150" s="1" t="str">
        <f>VLOOKUP(I150,[1]Lookup!$D$2:$E$5,2,FALSE)</f>
        <v>Mist / Cloudy</v>
      </c>
      <c r="U150" s="1" t="str">
        <f>IF(F150&lt;6,"Night",
IF(F150&lt;12,"Morning",
IF(F150&lt;17,"Afternoon",
IF(F150&lt;21,"Evening","Night"))))</f>
        <v>Morning</v>
      </c>
      <c r="V150" s="1" t="str">
        <f>IF(J150&lt;0.3,"Cold",
IF(J150&lt;0.6,"Pleasant","Hot"))</f>
        <v>Cold</v>
      </c>
      <c r="W150" s="1" t="str">
        <f>IF(L150&lt;0.4,"Low",
IF(L150&lt;0.7,"Medium","High"))</f>
        <v>Medium</v>
      </c>
      <c r="X150" s="1" t="str">
        <f>IF(M150&lt;0.2,"Low",
IF(M150&lt;0.4,"Medium","High"))</f>
        <v>Medium</v>
      </c>
      <c r="Y150" s="1" t="str">
        <f>IF(P150&lt;100,"Low",
IF(P150&lt;300,"Medium","High"))</f>
        <v>Low</v>
      </c>
    </row>
    <row r="151" spans="1:25" x14ac:dyDescent="0.3">
      <c r="A151">
        <v>150</v>
      </c>
      <c r="B151" s="2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 t="str">
        <f>VLOOKUP(MasterData[[#This Row],[season]],[1]Lookup!$A$2:$B$5,2,FALSE)</f>
        <v>Spring</v>
      </c>
      <c r="R151" t="str">
        <f>TEXT(DATE(2026,E151,1),"mmmm")</f>
        <v>January</v>
      </c>
      <c r="S151" t="str">
        <f>IF(OR(H151=0,H151=6),"Weekend","Weekday")</f>
        <v>Weekday</v>
      </c>
      <c r="T151" s="1" t="str">
        <f>VLOOKUP(I151,[1]Lookup!$D$2:$E$5,2,FALSE)</f>
        <v>Mist / Cloudy</v>
      </c>
      <c r="U151" s="1" t="str">
        <f>IF(F151&lt;6,"Night",
IF(F151&lt;12,"Morning",
IF(F151&lt;17,"Afternoon",
IF(F151&lt;21,"Evening","Night"))))</f>
        <v>Afternoon</v>
      </c>
      <c r="V151" s="1" t="str">
        <f>IF(J151&lt;0.3,"Cold",
IF(J151&lt;0.6,"Pleasant","Hot"))</f>
        <v>Cold</v>
      </c>
      <c r="W151" s="1" t="str">
        <f>IF(L151&lt;0.4,"Low",
IF(L151&lt;0.7,"Medium","High"))</f>
        <v>Low</v>
      </c>
      <c r="X151" s="1" t="str">
        <f>IF(M151&lt;0.2,"Low",
IF(M151&lt;0.4,"Medium","High"))</f>
        <v>Medium</v>
      </c>
      <c r="Y151" s="1" t="str">
        <f>IF(P151&lt;100,"Low",
IF(P151&lt;300,"Medium","High"))</f>
        <v>Low</v>
      </c>
    </row>
    <row r="152" spans="1:25" x14ac:dyDescent="0.3">
      <c r="A152">
        <v>151</v>
      </c>
      <c r="B152" s="2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 t="str">
        <f>VLOOKUP(MasterData[[#This Row],[season]],[1]Lookup!$A$2:$B$5,2,FALSE)</f>
        <v>Spring</v>
      </c>
      <c r="R152" t="str">
        <f>TEXT(DATE(2026,E152,1),"mmmm")</f>
        <v>January</v>
      </c>
      <c r="S152" t="str">
        <f>IF(OR(H152=0,H152=6),"Weekend","Weekday")</f>
        <v>Weekday</v>
      </c>
      <c r="T152" s="1" t="str">
        <f>VLOOKUP(I152,[1]Lookup!$D$2:$E$5,2,FALSE)</f>
        <v>Mist / Cloudy</v>
      </c>
      <c r="U152" s="1" t="str">
        <f>IF(F152&lt;6,"Night",
IF(F152&lt;12,"Morning",
IF(F152&lt;17,"Afternoon",
IF(F152&lt;21,"Evening","Night"))))</f>
        <v>Afternoon</v>
      </c>
      <c r="V152" s="1" t="str">
        <f>IF(J152&lt;0.3,"Cold",
IF(J152&lt;0.6,"Pleasant","Hot"))</f>
        <v>Cold</v>
      </c>
      <c r="W152" s="1" t="str">
        <f>IF(L152&lt;0.4,"Low",
IF(L152&lt;0.7,"Medium","High"))</f>
        <v>Low</v>
      </c>
      <c r="X152" s="1" t="str">
        <f>IF(M152&lt;0.2,"Low",
IF(M152&lt;0.4,"Medium","High"))</f>
        <v>Medium</v>
      </c>
      <c r="Y152" s="1" t="str">
        <f>IF(P152&lt;100,"Low",
IF(P152&lt;300,"Medium","High"))</f>
        <v>Low</v>
      </c>
    </row>
    <row r="153" spans="1:25" x14ac:dyDescent="0.3">
      <c r="A153">
        <v>152</v>
      </c>
      <c r="B153" s="2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 t="str">
        <f>VLOOKUP(MasterData[[#This Row],[season]],[1]Lookup!$A$2:$B$5,2,FALSE)</f>
        <v>Spring</v>
      </c>
      <c r="R153" t="str">
        <f>TEXT(DATE(2026,E153,1),"mmmm")</f>
        <v>January</v>
      </c>
      <c r="S153" t="str">
        <f>IF(OR(H153=0,H153=6),"Weekend","Weekday")</f>
        <v>Weekday</v>
      </c>
      <c r="T153" s="1" t="str">
        <f>VLOOKUP(I153,[1]Lookup!$D$2:$E$5,2,FALSE)</f>
        <v>Mist / Cloudy</v>
      </c>
      <c r="U153" s="1" t="str">
        <f>IF(F153&lt;6,"Night",
IF(F153&lt;12,"Morning",
IF(F153&lt;17,"Afternoon",
IF(F153&lt;21,"Evening","Night"))))</f>
        <v>Afternoon</v>
      </c>
      <c r="V153" s="1" t="str">
        <f>IF(J153&lt;0.3,"Cold",
IF(J153&lt;0.6,"Pleasant","Hot"))</f>
        <v>Cold</v>
      </c>
      <c r="W153" s="1" t="str">
        <f>IF(L153&lt;0.4,"Low",
IF(L153&lt;0.7,"Medium","High"))</f>
        <v>Medium</v>
      </c>
      <c r="X153" s="1" t="str">
        <f>IF(M153&lt;0.2,"Low",
IF(M153&lt;0.4,"Medium","High"))</f>
        <v>Medium</v>
      </c>
      <c r="Y153" s="1" t="str">
        <f>IF(P153&lt;100,"Low",
IF(P153&lt;300,"Medium","High"))</f>
        <v>Low</v>
      </c>
    </row>
    <row r="154" spans="1:25" x14ac:dyDescent="0.3">
      <c r="A154">
        <v>153</v>
      </c>
      <c r="B154" s="2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 t="str">
        <f>VLOOKUP(MasterData[[#This Row],[season]],[1]Lookup!$A$2:$B$5,2,FALSE)</f>
        <v>Spring</v>
      </c>
      <c r="R154" t="str">
        <f>TEXT(DATE(2026,E154,1),"mmmm")</f>
        <v>January</v>
      </c>
      <c r="S154" t="str">
        <f>IF(OR(H154=0,H154=6),"Weekend","Weekday")</f>
        <v>Weekday</v>
      </c>
      <c r="T154" s="1" t="str">
        <f>VLOOKUP(I154,[1]Lookup!$D$2:$E$5,2,FALSE)</f>
        <v>Mist / Cloudy</v>
      </c>
      <c r="U154" s="1" t="str">
        <f>IF(F154&lt;6,"Night",
IF(F154&lt;12,"Morning",
IF(F154&lt;17,"Afternoon",
IF(F154&lt;21,"Evening","Night"))))</f>
        <v>Afternoon</v>
      </c>
      <c r="V154" s="1" t="str">
        <f>IF(J154&lt;0.3,"Cold",
IF(J154&lt;0.6,"Pleasant","Hot"))</f>
        <v>Cold</v>
      </c>
      <c r="W154" s="1" t="str">
        <f>IF(L154&lt;0.4,"Low",
IF(L154&lt;0.7,"Medium","High"))</f>
        <v>Low</v>
      </c>
      <c r="X154" s="1" t="str">
        <f>IF(M154&lt;0.2,"Low",
IF(M154&lt;0.4,"Medium","High"))</f>
        <v>Low</v>
      </c>
      <c r="Y154" s="1" t="str">
        <f>IF(P154&lt;100,"Low",
IF(P154&lt;300,"Medium","High"))</f>
        <v>Low</v>
      </c>
    </row>
    <row r="155" spans="1:25" x14ac:dyDescent="0.3">
      <c r="A155">
        <v>154</v>
      </c>
      <c r="B155" s="2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 t="str">
        <f>VLOOKUP(MasterData[[#This Row],[season]],[1]Lookup!$A$2:$B$5,2,FALSE)</f>
        <v>Spring</v>
      </c>
      <c r="R155" t="str">
        <f>TEXT(DATE(2026,E155,1),"mmmm")</f>
        <v>January</v>
      </c>
      <c r="S155" t="str">
        <f>IF(OR(H155=0,H155=6),"Weekend","Weekday")</f>
        <v>Weekday</v>
      </c>
      <c r="T155" s="1" t="str">
        <f>VLOOKUP(I155,[1]Lookup!$D$2:$E$5,2,FALSE)</f>
        <v>Mist / Cloudy</v>
      </c>
      <c r="U155" s="1" t="str">
        <f>IF(F155&lt;6,"Night",
IF(F155&lt;12,"Morning",
IF(F155&lt;17,"Afternoon",
IF(F155&lt;21,"Evening","Night"))))</f>
        <v>Afternoon</v>
      </c>
      <c r="V155" s="1" t="str">
        <f>IF(J155&lt;0.3,"Cold",
IF(J155&lt;0.6,"Pleasant","Hot"))</f>
        <v>Cold</v>
      </c>
      <c r="W155" s="1" t="str">
        <f>IF(L155&lt;0.4,"Low",
IF(L155&lt;0.7,"Medium","High"))</f>
        <v>Low</v>
      </c>
      <c r="X155" s="1" t="str">
        <f>IF(M155&lt;0.2,"Low",
IF(M155&lt;0.4,"Medium","High"))</f>
        <v>Low</v>
      </c>
      <c r="Y155" s="1" t="str">
        <f>IF(P155&lt;100,"Low",
IF(P155&lt;300,"Medium","High"))</f>
        <v>Low</v>
      </c>
    </row>
    <row r="156" spans="1:25" x14ac:dyDescent="0.3">
      <c r="A156">
        <v>155</v>
      </c>
      <c r="B156" s="2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  <c r="Q156" t="str">
        <f>VLOOKUP(MasterData[[#This Row],[season]],[1]Lookup!$A$2:$B$5,2,FALSE)</f>
        <v>Spring</v>
      </c>
      <c r="R156" t="str">
        <f>TEXT(DATE(2026,E156,1),"mmmm")</f>
        <v>January</v>
      </c>
      <c r="S156" t="str">
        <f>IF(OR(H156=0,H156=6),"Weekend","Weekday")</f>
        <v>Weekday</v>
      </c>
      <c r="T156" s="1" t="str">
        <f>VLOOKUP(I156,[1]Lookup!$D$2:$E$5,2,FALSE)</f>
        <v>Mist / Cloudy</v>
      </c>
      <c r="U156" s="1" t="str">
        <f>IF(F156&lt;6,"Night",
IF(F156&lt;12,"Morning",
IF(F156&lt;17,"Afternoon",
IF(F156&lt;21,"Evening","Night"))))</f>
        <v>Evening</v>
      </c>
      <c r="V156" s="1" t="str">
        <f>IF(J156&lt;0.3,"Cold",
IF(J156&lt;0.6,"Pleasant","Hot"))</f>
        <v>Cold</v>
      </c>
      <c r="W156" s="1" t="str">
        <f>IF(L156&lt;0.4,"Low",
IF(L156&lt;0.7,"Medium","High"))</f>
        <v>Low</v>
      </c>
      <c r="X156" s="1" t="str">
        <f>IF(M156&lt;0.2,"Low",
IF(M156&lt;0.4,"Medium","High"))</f>
        <v>Low</v>
      </c>
      <c r="Y156" s="1" t="str">
        <f>IF(P156&lt;100,"Low",
IF(P156&lt;300,"Medium","High"))</f>
        <v>Medium</v>
      </c>
    </row>
    <row r="157" spans="1:25" x14ac:dyDescent="0.3">
      <c r="A157">
        <v>156</v>
      </c>
      <c r="B157" s="2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 t="str">
        <f>VLOOKUP(MasterData[[#This Row],[season]],[1]Lookup!$A$2:$B$5,2,FALSE)</f>
        <v>Spring</v>
      </c>
      <c r="R157" t="str">
        <f>TEXT(DATE(2026,E157,1),"mmmm")</f>
        <v>January</v>
      </c>
      <c r="S157" t="str">
        <f>IF(OR(H157=0,H157=6),"Weekend","Weekday")</f>
        <v>Weekday</v>
      </c>
      <c r="T157" s="1" t="str">
        <f>VLOOKUP(I157,[1]Lookup!$D$2:$E$5,2,FALSE)</f>
        <v>Clear</v>
      </c>
      <c r="U157" s="1" t="str">
        <f>IF(F157&lt;6,"Night",
IF(F157&lt;12,"Morning",
IF(F157&lt;17,"Afternoon",
IF(F157&lt;21,"Evening","Night"))))</f>
        <v>Evening</v>
      </c>
      <c r="V157" s="1" t="str">
        <f>IF(J157&lt;0.3,"Cold",
IF(J157&lt;0.6,"Pleasant","Hot"))</f>
        <v>Cold</v>
      </c>
      <c r="W157" s="1" t="str">
        <f>IF(L157&lt;0.4,"Low",
IF(L157&lt;0.7,"Medium","High"))</f>
        <v>Medium</v>
      </c>
      <c r="X157" s="1" t="str">
        <f>IF(M157&lt;0.2,"Low",
IF(M157&lt;0.4,"Medium","High"))</f>
        <v>Low</v>
      </c>
      <c r="Y157" s="1" t="str">
        <f>IF(P157&lt;100,"Low",
IF(P157&lt;300,"Medium","High"))</f>
        <v>Medium</v>
      </c>
    </row>
    <row r="158" spans="1:25" x14ac:dyDescent="0.3">
      <c r="A158">
        <v>157</v>
      </c>
      <c r="B158" s="2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 t="str">
        <f>VLOOKUP(MasterData[[#This Row],[season]],[1]Lookup!$A$2:$B$5,2,FALSE)</f>
        <v>Spring</v>
      </c>
      <c r="R158" t="str">
        <f>TEXT(DATE(2026,E158,1),"mmmm")</f>
        <v>January</v>
      </c>
      <c r="S158" t="str">
        <f>IF(OR(H158=0,H158=6),"Weekend","Weekday")</f>
        <v>Weekday</v>
      </c>
      <c r="T158" s="1" t="str">
        <f>VLOOKUP(I158,[1]Lookup!$D$2:$E$5,2,FALSE)</f>
        <v>Clear</v>
      </c>
      <c r="U158" s="1" t="str">
        <f>IF(F158&lt;6,"Night",
IF(F158&lt;12,"Morning",
IF(F158&lt;17,"Afternoon",
IF(F158&lt;21,"Evening","Night"))))</f>
        <v>Evening</v>
      </c>
      <c r="V158" s="1" t="str">
        <f>IF(J158&lt;0.3,"Cold",
IF(J158&lt;0.6,"Pleasant","Hot"))</f>
        <v>Cold</v>
      </c>
      <c r="W158" s="1" t="str">
        <f>IF(L158&lt;0.4,"Low",
IF(L158&lt;0.7,"Medium","High"))</f>
        <v>Medium</v>
      </c>
      <c r="X158" s="1" t="str">
        <f>IF(M158&lt;0.2,"Low",
IF(M158&lt;0.4,"Medium","High"))</f>
        <v>Low</v>
      </c>
      <c r="Y158" s="1" t="str">
        <f>IF(P158&lt;100,"Low",
IF(P158&lt;300,"Medium","High"))</f>
        <v>Low</v>
      </c>
    </row>
    <row r="159" spans="1:25" x14ac:dyDescent="0.3">
      <c r="A159">
        <v>158</v>
      </c>
      <c r="B159" s="2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 t="str">
        <f>VLOOKUP(MasterData[[#This Row],[season]],[1]Lookup!$A$2:$B$5,2,FALSE)</f>
        <v>Spring</v>
      </c>
      <c r="R159" t="str">
        <f>TEXT(DATE(2026,E159,1),"mmmm")</f>
        <v>January</v>
      </c>
      <c r="S159" t="str">
        <f>IF(OR(H159=0,H159=6),"Weekend","Weekday")</f>
        <v>Weekday</v>
      </c>
      <c r="T159" s="1" t="str">
        <f>VLOOKUP(I159,[1]Lookup!$D$2:$E$5,2,FALSE)</f>
        <v>Clear</v>
      </c>
      <c r="U159" s="1" t="str">
        <f>IF(F159&lt;6,"Night",
IF(F159&lt;12,"Morning",
IF(F159&lt;17,"Afternoon",
IF(F159&lt;21,"Evening","Night"))))</f>
        <v>Evening</v>
      </c>
      <c r="V159" s="1" t="str">
        <f>IF(J159&lt;0.3,"Cold",
IF(J159&lt;0.6,"Pleasant","Hot"))</f>
        <v>Cold</v>
      </c>
      <c r="W159" s="1" t="str">
        <f>IF(L159&lt;0.4,"Low",
IF(L159&lt;0.7,"Medium","High"))</f>
        <v>Medium</v>
      </c>
      <c r="X159" s="1" t="str">
        <f>IF(M159&lt;0.2,"Low",
IF(M159&lt;0.4,"Medium","High"))</f>
        <v>Low</v>
      </c>
      <c r="Y159" s="1" t="str">
        <f>IF(P159&lt;100,"Low",
IF(P159&lt;300,"Medium","High"))</f>
        <v>Low</v>
      </c>
    </row>
    <row r="160" spans="1:25" x14ac:dyDescent="0.3">
      <c r="A160">
        <v>159</v>
      </c>
      <c r="B160" s="2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 t="str">
        <f>VLOOKUP(MasterData[[#This Row],[season]],[1]Lookup!$A$2:$B$5,2,FALSE)</f>
        <v>Spring</v>
      </c>
      <c r="R160" t="str">
        <f>TEXT(DATE(2026,E160,1),"mmmm")</f>
        <v>January</v>
      </c>
      <c r="S160" t="str">
        <f>IF(OR(H160=0,H160=6),"Weekend","Weekday")</f>
        <v>Weekday</v>
      </c>
      <c r="T160" s="1" t="str">
        <f>VLOOKUP(I160,[1]Lookup!$D$2:$E$5,2,FALSE)</f>
        <v>Clear</v>
      </c>
      <c r="U160" s="1" t="str">
        <f>IF(F160&lt;6,"Night",
IF(F160&lt;12,"Morning",
IF(F160&lt;17,"Afternoon",
IF(F160&lt;21,"Evening","Night"))))</f>
        <v>Night</v>
      </c>
      <c r="V160" s="1" t="str">
        <f>IF(J160&lt;0.3,"Cold",
IF(J160&lt;0.6,"Pleasant","Hot"))</f>
        <v>Cold</v>
      </c>
      <c r="W160" s="1" t="str">
        <f>IF(L160&lt;0.4,"Low",
IF(L160&lt;0.7,"Medium","High"))</f>
        <v>Medium</v>
      </c>
      <c r="X160" s="1" t="str">
        <f>IF(M160&lt;0.2,"Low",
IF(M160&lt;0.4,"Medium","High"))</f>
        <v>Low</v>
      </c>
      <c r="Y160" s="1" t="str">
        <f>IF(P160&lt;100,"Low",
IF(P160&lt;300,"Medium","High"))</f>
        <v>Low</v>
      </c>
    </row>
    <row r="161" spans="1:25" x14ac:dyDescent="0.3">
      <c r="A161">
        <v>160</v>
      </c>
      <c r="B161" s="2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 t="str">
        <f>VLOOKUP(MasterData[[#This Row],[season]],[1]Lookup!$A$2:$B$5,2,FALSE)</f>
        <v>Spring</v>
      </c>
      <c r="R161" t="str">
        <f>TEXT(DATE(2026,E161,1),"mmmm")</f>
        <v>January</v>
      </c>
      <c r="S161" t="str">
        <f>IF(OR(H161=0,H161=6),"Weekend","Weekday")</f>
        <v>Weekday</v>
      </c>
      <c r="T161" s="1" t="str">
        <f>VLOOKUP(I161,[1]Lookup!$D$2:$E$5,2,FALSE)</f>
        <v>Mist / Cloudy</v>
      </c>
      <c r="U161" s="1" t="str">
        <f>IF(F161&lt;6,"Night",
IF(F161&lt;12,"Morning",
IF(F161&lt;17,"Afternoon",
IF(F161&lt;21,"Evening","Night"))))</f>
        <v>Night</v>
      </c>
      <c r="V161" s="1" t="str">
        <f>IF(J161&lt;0.3,"Cold",
IF(J161&lt;0.6,"Pleasant","Hot"))</f>
        <v>Cold</v>
      </c>
      <c r="W161" s="1" t="str">
        <f>IF(L161&lt;0.4,"Low",
IF(L161&lt;0.7,"Medium","High"))</f>
        <v>Medium</v>
      </c>
      <c r="X161" s="1" t="str">
        <f>IF(M161&lt;0.2,"Low",
IF(M161&lt;0.4,"Medium","High"))</f>
        <v>Low</v>
      </c>
      <c r="Y161" s="1" t="str">
        <f>IF(P161&lt;100,"Low",
IF(P161&lt;300,"Medium","High"))</f>
        <v>Low</v>
      </c>
    </row>
    <row r="162" spans="1:25" x14ac:dyDescent="0.3">
      <c r="A162">
        <v>161</v>
      </c>
      <c r="B162" s="2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 t="str">
        <f>VLOOKUP(MasterData[[#This Row],[season]],[1]Lookup!$A$2:$B$5,2,FALSE)</f>
        <v>Spring</v>
      </c>
      <c r="R162" t="str">
        <f>TEXT(DATE(2026,E162,1),"mmmm")</f>
        <v>January</v>
      </c>
      <c r="S162" t="str">
        <f>IF(OR(H162=0,H162=6),"Weekend","Weekday")</f>
        <v>Weekday</v>
      </c>
      <c r="T162" s="1" t="str">
        <f>VLOOKUP(I162,[1]Lookup!$D$2:$E$5,2,FALSE)</f>
        <v>Mist / Cloudy</v>
      </c>
      <c r="U162" s="1" t="str">
        <f>IF(F162&lt;6,"Night",
IF(F162&lt;12,"Morning",
IF(F162&lt;17,"Afternoon",
IF(F162&lt;21,"Evening","Night"))))</f>
        <v>Night</v>
      </c>
      <c r="V162" s="1" t="str">
        <f>IF(J162&lt;0.3,"Cold",
IF(J162&lt;0.6,"Pleasant","Hot"))</f>
        <v>Cold</v>
      </c>
      <c r="W162" s="1" t="str">
        <f>IF(L162&lt;0.4,"Low",
IF(L162&lt;0.7,"Medium","High"))</f>
        <v>Medium</v>
      </c>
      <c r="X162" s="1" t="str">
        <f>IF(M162&lt;0.2,"Low",
IF(M162&lt;0.4,"Medium","High"))</f>
        <v>Low</v>
      </c>
      <c r="Y162" s="1" t="str">
        <f>IF(P162&lt;100,"Low",
IF(P162&lt;300,"Medium","High"))</f>
        <v>Low</v>
      </c>
    </row>
    <row r="163" spans="1:25" x14ac:dyDescent="0.3">
      <c r="A163">
        <v>162</v>
      </c>
      <c r="B163" s="2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 t="str">
        <f>VLOOKUP(MasterData[[#This Row],[season]],[1]Lookup!$A$2:$B$5,2,FALSE)</f>
        <v>Spring</v>
      </c>
      <c r="R163" t="str">
        <f>TEXT(DATE(2026,E163,1),"mmmm")</f>
        <v>January</v>
      </c>
      <c r="S163" t="str">
        <f>IF(OR(H163=0,H163=6),"Weekend","Weekday")</f>
        <v>Weekend</v>
      </c>
      <c r="T163" s="1" t="str">
        <f>VLOOKUP(I163,[1]Lookup!$D$2:$E$5,2,FALSE)</f>
        <v>Mist / Cloudy</v>
      </c>
      <c r="U163" s="1" t="str">
        <f>IF(F163&lt;6,"Night",
IF(F163&lt;12,"Morning",
IF(F163&lt;17,"Afternoon",
IF(F163&lt;21,"Evening","Night"))))</f>
        <v>Night</v>
      </c>
      <c r="V163" s="1" t="str">
        <f>IF(J163&lt;0.3,"Cold",
IF(J163&lt;0.6,"Pleasant","Hot"))</f>
        <v>Cold</v>
      </c>
      <c r="W163" s="1" t="str">
        <f>IF(L163&lt;0.4,"Low",
IF(L163&lt;0.7,"Medium","High"))</f>
        <v>Medium</v>
      </c>
      <c r="X163" s="1" t="str">
        <f>IF(M163&lt;0.2,"Low",
IF(M163&lt;0.4,"Medium","High"))</f>
        <v>Low</v>
      </c>
      <c r="Y163" s="1" t="str">
        <f>IF(P163&lt;100,"Low",
IF(P163&lt;300,"Medium","High"))</f>
        <v>Low</v>
      </c>
    </row>
    <row r="164" spans="1:25" x14ac:dyDescent="0.3">
      <c r="A164">
        <v>163</v>
      </c>
      <c r="B164" s="2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 t="str">
        <f>VLOOKUP(MasterData[[#This Row],[season]],[1]Lookup!$A$2:$B$5,2,FALSE)</f>
        <v>Spring</v>
      </c>
      <c r="R164" t="str">
        <f>TEXT(DATE(2026,E164,1),"mmmm")</f>
        <v>January</v>
      </c>
      <c r="S164" t="str">
        <f>IF(OR(H164=0,H164=6),"Weekend","Weekday")</f>
        <v>Weekend</v>
      </c>
      <c r="T164" s="1" t="str">
        <f>VLOOKUP(I164,[1]Lookup!$D$2:$E$5,2,FALSE)</f>
        <v>Mist / Cloudy</v>
      </c>
      <c r="U164" s="1" t="str">
        <f>IF(F164&lt;6,"Night",
IF(F164&lt;12,"Morning",
IF(F164&lt;17,"Afternoon",
IF(F164&lt;21,"Evening","Night"))))</f>
        <v>Night</v>
      </c>
      <c r="V164" s="1" t="str">
        <f>IF(J164&lt;0.3,"Cold",
IF(J164&lt;0.6,"Pleasant","Hot"))</f>
        <v>Cold</v>
      </c>
      <c r="W164" s="1" t="str">
        <f>IF(L164&lt;0.4,"Low",
IF(L164&lt;0.7,"Medium","High"))</f>
        <v>Medium</v>
      </c>
      <c r="X164" s="1" t="str">
        <f>IF(M164&lt;0.2,"Low",
IF(M164&lt;0.4,"Medium","High"))</f>
        <v>Low</v>
      </c>
      <c r="Y164" s="1" t="str">
        <f>IF(P164&lt;100,"Low",
IF(P164&lt;300,"Medium","High"))</f>
        <v>Low</v>
      </c>
    </row>
    <row r="165" spans="1:25" x14ac:dyDescent="0.3">
      <c r="A165">
        <v>164</v>
      </c>
      <c r="B165" s="2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 t="str">
        <f>VLOOKUP(MasterData[[#This Row],[season]],[1]Lookup!$A$2:$B$5,2,FALSE)</f>
        <v>Spring</v>
      </c>
      <c r="R165" t="str">
        <f>TEXT(DATE(2026,E165,1),"mmmm")</f>
        <v>January</v>
      </c>
      <c r="S165" t="str">
        <f>IF(OR(H165=0,H165=6),"Weekend","Weekday")</f>
        <v>Weekend</v>
      </c>
      <c r="T165" s="1" t="str">
        <f>VLOOKUP(I165,[1]Lookup!$D$2:$E$5,2,FALSE)</f>
        <v>Mist / Cloudy</v>
      </c>
      <c r="U165" s="1" t="str">
        <f>IF(F165&lt;6,"Night",
IF(F165&lt;12,"Morning",
IF(F165&lt;17,"Afternoon",
IF(F165&lt;21,"Evening","Night"))))</f>
        <v>Night</v>
      </c>
      <c r="V165" s="1" t="str">
        <f>IF(J165&lt;0.3,"Cold",
IF(J165&lt;0.6,"Pleasant","Hot"))</f>
        <v>Cold</v>
      </c>
      <c r="W165" s="1" t="str">
        <f>IF(L165&lt;0.4,"Low",
IF(L165&lt;0.7,"Medium","High"))</f>
        <v>Medium</v>
      </c>
      <c r="X165" s="1" t="str">
        <f>IF(M165&lt;0.2,"Low",
IF(M165&lt;0.4,"Medium","High"))</f>
        <v>Low</v>
      </c>
      <c r="Y165" s="1" t="str">
        <f>IF(P165&lt;100,"Low",
IF(P165&lt;300,"Medium","High"))</f>
        <v>Low</v>
      </c>
    </row>
    <row r="166" spans="1:25" x14ac:dyDescent="0.3">
      <c r="A166">
        <v>165</v>
      </c>
      <c r="B166" s="2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 t="str">
        <f>VLOOKUP(MasterData[[#This Row],[season]],[1]Lookup!$A$2:$B$5,2,FALSE)</f>
        <v>Spring</v>
      </c>
      <c r="R166" t="str">
        <f>TEXT(DATE(2026,E166,1),"mmmm")</f>
        <v>January</v>
      </c>
      <c r="S166" t="str">
        <f>IF(OR(H166=0,H166=6),"Weekend","Weekday")</f>
        <v>Weekend</v>
      </c>
      <c r="T166" s="1" t="str">
        <f>VLOOKUP(I166,[1]Lookup!$D$2:$E$5,2,FALSE)</f>
        <v>Light Rain / Snow</v>
      </c>
      <c r="U166" s="1" t="str">
        <f>IF(F166&lt;6,"Night",
IF(F166&lt;12,"Morning",
IF(F166&lt;17,"Afternoon",
IF(F166&lt;21,"Evening","Night"))))</f>
        <v>Night</v>
      </c>
      <c r="V166" s="1" t="str">
        <f>IF(J166&lt;0.3,"Cold",
IF(J166&lt;0.6,"Pleasant","Hot"))</f>
        <v>Cold</v>
      </c>
      <c r="W166" s="1" t="str">
        <f>IF(L166&lt;0.4,"Low",
IF(L166&lt;0.7,"Medium","High"))</f>
        <v>Medium</v>
      </c>
      <c r="X166" s="1" t="str">
        <f>IF(M166&lt;0.2,"Low",
IF(M166&lt;0.4,"Medium","High"))</f>
        <v>Low</v>
      </c>
      <c r="Y166" s="1" t="str">
        <f>IF(P166&lt;100,"Low",
IF(P166&lt;300,"Medium","High"))</f>
        <v>Low</v>
      </c>
    </row>
    <row r="167" spans="1:25" x14ac:dyDescent="0.3">
      <c r="A167">
        <v>166</v>
      </c>
      <c r="B167" s="2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 t="str">
        <f>VLOOKUP(MasterData[[#This Row],[season]],[1]Lookup!$A$2:$B$5,2,FALSE)</f>
        <v>Spring</v>
      </c>
      <c r="R167" t="str">
        <f>TEXT(DATE(2026,E167,1),"mmmm")</f>
        <v>January</v>
      </c>
      <c r="S167" t="str">
        <f>IF(OR(H167=0,H167=6),"Weekend","Weekday")</f>
        <v>Weekend</v>
      </c>
      <c r="T167" s="1" t="str">
        <f>VLOOKUP(I167,[1]Lookup!$D$2:$E$5,2,FALSE)</f>
        <v>Light Rain / Snow</v>
      </c>
      <c r="U167" s="1" t="str">
        <f>IF(F167&lt;6,"Night",
IF(F167&lt;12,"Morning",
IF(F167&lt;17,"Afternoon",
IF(F167&lt;21,"Evening","Night"))))</f>
        <v>Night</v>
      </c>
      <c r="V167" s="1" t="str">
        <f>IF(J167&lt;0.3,"Cold",
IF(J167&lt;0.6,"Pleasant","Hot"))</f>
        <v>Cold</v>
      </c>
      <c r="W167" s="1" t="str">
        <f>IF(L167&lt;0.4,"Low",
IF(L167&lt;0.7,"Medium","High"))</f>
        <v>Medium</v>
      </c>
      <c r="X167" s="1" t="str">
        <f>IF(M167&lt;0.2,"Low",
IF(M167&lt;0.4,"Medium","High"))</f>
        <v>Low</v>
      </c>
      <c r="Y167" s="1" t="str">
        <f>IF(P167&lt;100,"Low",
IF(P167&lt;300,"Medium","High"))</f>
        <v>Low</v>
      </c>
    </row>
    <row r="168" spans="1:25" x14ac:dyDescent="0.3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 t="str">
        <f>VLOOKUP(MasterData[[#This Row],[season]],[1]Lookup!$A$2:$B$5,2,FALSE)</f>
        <v>Spring</v>
      </c>
      <c r="R168" t="str">
        <f>TEXT(DATE(2026,E168,1),"mmmm")</f>
        <v>January</v>
      </c>
      <c r="S168" t="str">
        <f>IF(OR(H168=0,H168=6),"Weekend","Weekday")</f>
        <v>Weekend</v>
      </c>
      <c r="T168" s="1" t="str">
        <f>VLOOKUP(I168,[1]Lookup!$D$2:$E$5,2,FALSE)</f>
        <v>Mist / Cloudy</v>
      </c>
      <c r="U168" s="1" t="str">
        <f>IF(F168&lt;6,"Night",
IF(F168&lt;12,"Morning",
IF(F168&lt;17,"Afternoon",
IF(F168&lt;21,"Evening","Night"))))</f>
        <v>Night</v>
      </c>
      <c r="V168" s="1" t="str">
        <f>IF(J168&lt;0.3,"Cold",
IF(J168&lt;0.6,"Pleasant","Hot"))</f>
        <v>Cold</v>
      </c>
      <c r="W168" s="1" t="str">
        <f>IF(L168&lt;0.4,"Low",
IF(L168&lt;0.7,"Medium","High"))</f>
        <v>High</v>
      </c>
      <c r="X168" s="1" t="str">
        <f>IF(M168&lt;0.2,"Low",
IF(M168&lt;0.4,"Medium","High"))</f>
        <v>Low</v>
      </c>
      <c r="Y168" s="1" t="str">
        <f>IF(P168&lt;100,"Low",
IF(P168&lt;300,"Medium","High"))</f>
        <v>Low</v>
      </c>
    </row>
    <row r="169" spans="1:25" x14ac:dyDescent="0.3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 t="str">
        <f>VLOOKUP(MasterData[[#This Row],[season]],[1]Lookup!$A$2:$B$5,2,FALSE)</f>
        <v>Spring</v>
      </c>
      <c r="R169" t="str">
        <f>TEXT(DATE(2026,E169,1),"mmmm")</f>
        <v>January</v>
      </c>
      <c r="S169" t="str">
        <f>IF(OR(H169=0,H169=6),"Weekend","Weekday")</f>
        <v>Weekend</v>
      </c>
      <c r="T169" s="1" t="str">
        <f>VLOOKUP(I169,[1]Lookup!$D$2:$E$5,2,FALSE)</f>
        <v>Mist / Cloudy</v>
      </c>
      <c r="U169" s="1" t="str">
        <f>IF(F169&lt;6,"Night",
IF(F169&lt;12,"Morning",
IF(F169&lt;17,"Afternoon",
IF(F169&lt;21,"Evening","Night"))))</f>
        <v>Morning</v>
      </c>
      <c r="V169" s="1" t="str">
        <f>IF(J169&lt;0.3,"Cold",
IF(J169&lt;0.6,"Pleasant","Hot"))</f>
        <v>Cold</v>
      </c>
      <c r="W169" s="1" t="str">
        <f>IF(L169&lt;0.4,"Low",
IF(L169&lt;0.7,"Medium","High"))</f>
        <v>High</v>
      </c>
      <c r="X169" s="1" t="str">
        <f>IF(M169&lt;0.2,"Low",
IF(M169&lt;0.4,"Medium","High"))</f>
        <v>Low</v>
      </c>
      <c r="Y169" s="1" t="str">
        <f>IF(P169&lt;100,"Low",
IF(P169&lt;300,"Medium","High"))</f>
        <v>Low</v>
      </c>
    </row>
    <row r="170" spans="1:25" x14ac:dyDescent="0.3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 t="str">
        <f>VLOOKUP(MasterData[[#This Row],[season]],[1]Lookup!$A$2:$B$5,2,FALSE)</f>
        <v>Spring</v>
      </c>
      <c r="R170" t="str">
        <f>TEXT(DATE(2026,E170,1),"mmmm")</f>
        <v>January</v>
      </c>
      <c r="S170" t="str">
        <f>IF(OR(H170=0,H170=6),"Weekend","Weekday")</f>
        <v>Weekend</v>
      </c>
      <c r="T170" s="1" t="str">
        <f>VLOOKUP(I170,[1]Lookup!$D$2:$E$5,2,FALSE)</f>
        <v>Mist / Cloudy</v>
      </c>
      <c r="U170" s="1" t="str">
        <f>IF(F170&lt;6,"Night",
IF(F170&lt;12,"Morning",
IF(F170&lt;17,"Afternoon",
IF(F170&lt;21,"Evening","Night"))))</f>
        <v>Morning</v>
      </c>
      <c r="V170" s="1" t="str">
        <f>IF(J170&lt;0.3,"Cold",
IF(J170&lt;0.6,"Pleasant","Hot"))</f>
        <v>Cold</v>
      </c>
      <c r="W170" s="1" t="str">
        <f>IF(L170&lt;0.4,"Low",
IF(L170&lt;0.7,"Medium","High"))</f>
        <v>High</v>
      </c>
      <c r="X170" s="1" t="str">
        <f>IF(M170&lt;0.2,"Low",
IF(M170&lt;0.4,"Medium","High"))</f>
        <v>Low</v>
      </c>
      <c r="Y170" s="1" t="str">
        <f>IF(P170&lt;100,"Low",
IF(P170&lt;300,"Medium","High"))</f>
        <v>Low</v>
      </c>
    </row>
    <row r="171" spans="1:25" x14ac:dyDescent="0.3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 t="str">
        <f>VLOOKUP(MasterData[[#This Row],[season]],[1]Lookup!$A$2:$B$5,2,FALSE)</f>
        <v>Spring</v>
      </c>
      <c r="R171" t="str">
        <f>TEXT(DATE(2026,E171,1),"mmmm")</f>
        <v>January</v>
      </c>
      <c r="S171" t="str">
        <f>IF(OR(H171=0,H171=6),"Weekend","Weekday")</f>
        <v>Weekend</v>
      </c>
      <c r="T171" s="1" t="str">
        <f>VLOOKUP(I171,[1]Lookup!$D$2:$E$5,2,FALSE)</f>
        <v>Light Rain / Snow</v>
      </c>
      <c r="U171" s="1" t="str">
        <f>IF(F171&lt;6,"Night",
IF(F171&lt;12,"Morning",
IF(F171&lt;17,"Afternoon",
IF(F171&lt;21,"Evening","Night"))))</f>
        <v>Morning</v>
      </c>
      <c r="V171" s="1" t="str">
        <f>IF(J171&lt;0.3,"Cold",
IF(J171&lt;0.6,"Pleasant","Hot"))</f>
        <v>Cold</v>
      </c>
      <c r="W171" s="1" t="str">
        <f>IF(L171&lt;0.4,"Low",
IF(L171&lt;0.7,"Medium","High"))</f>
        <v>High</v>
      </c>
      <c r="X171" s="1" t="str">
        <f>IF(M171&lt;0.2,"Low",
IF(M171&lt;0.4,"Medium","High"))</f>
        <v>Low</v>
      </c>
      <c r="Y171" s="1" t="str">
        <f>IF(P171&lt;100,"Low",
IF(P171&lt;300,"Medium","High"))</f>
        <v>Low</v>
      </c>
    </row>
    <row r="172" spans="1:25" x14ac:dyDescent="0.3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  <c r="Q172" t="str">
        <f>VLOOKUP(MasterData[[#This Row],[season]],[1]Lookup!$A$2:$B$5,2,FALSE)</f>
        <v>Spring</v>
      </c>
      <c r="R172" t="str">
        <f>TEXT(DATE(2026,E172,1),"mmmm")</f>
        <v>January</v>
      </c>
      <c r="S172" t="str">
        <f>IF(OR(H172=0,H172=6),"Weekend","Weekday")</f>
        <v>Weekend</v>
      </c>
      <c r="T172" s="1" t="str">
        <f>VLOOKUP(I172,[1]Lookup!$D$2:$E$5,2,FALSE)</f>
        <v>Light Rain / Snow</v>
      </c>
      <c r="U172" s="1" t="str">
        <f>IF(F172&lt;6,"Night",
IF(F172&lt;12,"Morning",
IF(F172&lt;17,"Afternoon",
IF(F172&lt;21,"Evening","Night"))))</f>
        <v>Morning</v>
      </c>
      <c r="V172" s="1" t="str">
        <f>IF(J172&lt;0.3,"Cold",
IF(J172&lt;0.6,"Pleasant","Hot"))</f>
        <v>Cold</v>
      </c>
      <c r="W172" s="1" t="str">
        <f>IF(L172&lt;0.4,"Low",
IF(L172&lt;0.7,"Medium","High"))</f>
        <v>High</v>
      </c>
      <c r="X172" s="1" t="str">
        <f>IF(M172&lt;0.2,"Low",
IF(M172&lt;0.4,"Medium","High"))</f>
        <v>Low</v>
      </c>
      <c r="Y172" s="1" t="str">
        <f>IF(P172&lt;100,"Low",
IF(P172&lt;300,"Medium","High"))</f>
        <v>Low</v>
      </c>
    </row>
    <row r="173" spans="1:25" x14ac:dyDescent="0.3">
      <c r="A173">
        <v>172</v>
      </c>
      <c r="B173" s="2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 t="str">
        <f>VLOOKUP(MasterData[[#This Row],[season]],[1]Lookup!$A$2:$B$5,2,FALSE)</f>
        <v>Spring</v>
      </c>
      <c r="R173" t="str">
        <f>TEXT(DATE(2026,E173,1),"mmmm")</f>
        <v>January</v>
      </c>
      <c r="S173" t="str">
        <f>IF(OR(H173=0,H173=6),"Weekend","Weekday")</f>
        <v>Weekend</v>
      </c>
      <c r="T173" s="1" t="str">
        <f>VLOOKUP(I173,[1]Lookup!$D$2:$E$5,2,FALSE)</f>
        <v>Mist / Cloudy</v>
      </c>
      <c r="U173" s="1" t="str">
        <f>IF(F173&lt;6,"Night",
IF(F173&lt;12,"Morning",
IF(F173&lt;17,"Afternoon",
IF(F173&lt;21,"Evening","Night"))))</f>
        <v>Morning</v>
      </c>
      <c r="V173" s="1" t="str">
        <f>IF(J173&lt;0.3,"Cold",
IF(J173&lt;0.6,"Pleasant","Hot"))</f>
        <v>Cold</v>
      </c>
      <c r="W173" s="1" t="str">
        <f>IF(L173&lt;0.4,"Low",
IF(L173&lt;0.7,"Medium","High"))</f>
        <v>High</v>
      </c>
      <c r="X173" s="1" t="str">
        <f>IF(M173&lt;0.2,"Low",
IF(M173&lt;0.4,"Medium","High"))</f>
        <v>Low</v>
      </c>
      <c r="Y173" s="1" t="str">
        <f>IF(P173&lt;100,"Low",
IF(P173&lt;300,"Medium","High"))</f>
        <v>Low</v>
      </c>
    </row>
    <row r="174" spans="1:25" x14ac:dyDescent="0.3">
      <c r="A174">
        <v>173</v>
      </c>
      <c r="B174" s="2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 t="str">
        <f>VLOOKUP(MasterData[[#This Row],[season]],[1]Lookup!$A$2:$B$5,2,FALSE)</f>
        <v>Spring</v>
      </c>
      <c r="R174" t="str">
        <f>TEXT(DATE(2026,E174,1),"mmmm")</f>
        <v>January</v>
      </c>
      <c r="S174" t="str">
        <f>IF(OR(H174=0,H174=6),"Weekend","Weekday")</f>
        <v>Weekend</v>
      </c>
      <c r="T174" s="1" t="str">
        <f>VLOOKUP(I174,[1]Lookup!$D$2:$E$5,2,FALSE)</f>
        <v>Mist / Cloudy</v>
      </c>
      <c r="U174" s="1" t="str">
        <f>IF(F174&lt;6,"Night",
IF(F174&lt;12,"Morning",
IF(F174&lt;17,"Afternoon",
IF(F174&lt;21,"Evening","Night"))))</f>
        <v>Morning</v>
      </c>
      <c r="V174" s="1" t="str">
        <f>IF(J174&lt;0.3,"Cold",
IF(J174&lt;0.6,"Pleasant","Hot"))</f>
        <v>Cold</v>
      </c>
      <c r="W174" s="1" t="str">
        <f>IF(L174&lt;0.4,"Low",
IF(L174&lt;0.7,"Medium","High"))</f>
        <v>Medium</v>
      </c>
      <c r="X174" s="1" t="str">
        <f>IF(M174&lt;0.2,"Low",
IF(M174&lt;0.4,"Medium","High"))</f>
        <v>Medium</v>
      </c>
      <c r="Y174" s="1" t="str">
        <f>IF(P174&lt;100,"Low",
IF(P174&lt;300,"Medium","High"))</f>
        <v>Low</v>
      </c>
    </row>
    <row r="175" spans="1:25" x14ac:dyDescent="0.3">
      <c r="A175">
        <v>174</v>
      </c>
      <c r="B175" s="2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 t="str">
        <f>VLOOKUP(MasterData[[#This Row],[season]],[1]Lookup!$A$2:$B$5,2,FALSE)</f>
        <v>Spring</v>
      </c>
      <c r="R175" t="str">
        <f>TEXT(DATE(2026,E175,1),"mmmm")</f>
        <v>January</v>
      </c>
      <c r="S175" t="str">
        <f>IF(OR(H175=0,H175=6),"Weekend","Weekday")</f>
        <v>Weekend</v>
      </c>
      <c r="T175" s="1" t="str">
        <f>VLOOKUP(I175,[1]Lookup!$D$2:$E$5,2,FALSE)</f>
        <v>Mist / Cloudy</v>
      </c>
      <c r="U175" s="1" t="str">
        <f>IF(F175&lt;6,"Night",
IF(F175&lt;12,"Morning",
IF(F175&lt;17,"Afternoon",
IF(F175&lt;21,"Evening","Night"))))</f>
        <v>Afternoon</v>
      </c>
      <c r="V175" s="1" t="str">
        <f>IF(J175&lt;0.3,"Cold",
IF(J175&lt;0.6,"Pleasant","Hot"))</f>
        <v>Cold</v>
      </c>
      <c r="W175" s="1" t="str">
        <f>IF(L175&lt;0.4,"Low",
IF(L175&lt;0.7,"Medium","High"))</f>
        <v>Medium</v>
      </c>
      <c r="X175" s="1" t="str">
        <f>IF(M175&lt;0.2,"Low",
IF(M175&lt;0.4,"Medium","High"))</f>
        <v>Medium</v>
      </c>
      <c r="Y175" s="1" t="str">
        <f>IF(P175&lt;100,"Low",
IF(P175&lt;300,"Medium","High"))</f>
        <v>Low</v>
      </c>
    </row>
    <row r="176" spans="1:25" x14ac:dyDescent="0.3">
      <c r="A176">
        <v>175</v>
      </c>
      <c r="B176" s="2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 t="str">
        <f>VLOOKUP(MasterData[[#This Row],[season]],[1]Lookup!$A$2:$B$5,2,FALSE)</f>
        <v>Spring</v>
      </c>
      <c r="R176" t="str">
        <f>TEXT(DATE(2026,E176,1),"mmmm")</f>
        <v>January</v>
      </c>
      <c r="S176" t="str">
        <f>IF(OR(H176=0,H176=6),"Weekend","Weekday")</f>
        <v>Weekend</v>
      </c>
      <c r="T176" s="1" t="str">
        <f>VLOOKUP(I176,[1]Lookup!$D$2:$E$5,2,FALSE)</f>
        <v>Clear</v>
      </c>
      <c r="U176" s="1" t="str">
        <f>IF(F176&lt;6,"Night",
IF(F176&lt;12,"Morning",
IF(F176&lt;17,"Afternoon",
IF(F176&lt;21,"Evening","Night"))))</f>
        <v>Afternoon</v>
      </c>
      <c r="V176" s="1" t="str">
        <f>IF(J176&lt;0.3,"Cold",
IF(J176&lt;0.6,"Pleasant","Hot"))</f>
        <v>Cold</v>
      </c>
      <c r="W176" s="1" t="str">
        <f>IF(L176&lt;0.4,"Low",
IF(L176&lt;0.7,"Medium","High"))</f>
        <v>Medium</v>
      </c>
      <c r="X176" s="1" t="str">
        <f>IF(M176&lt;0.2,"Low",
IF(M176&lt;0.4,"Medium","High"))</f>
        <v>Medium</v>
      </c>
      <c r="Y176" s="1" t="str">
        <f>IF(P176&lt;100,"Low",
IF(P176&lt;300,"Medium","High"))</f>
        <v>Medium</v>
      </c>
    </row>
    <row r="177" spans="1:25" x14ac:dyDescent="0.3">
      <c r="A177">
        <v>176</v>
      </c>
      <c r="B177" s="2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 t="str">
        <f>VLOOKUP(MasterData[[#This Row],[season]],[1]Lookup!$A$2:$B$5,2,FALSE)</f>
        <v>Spring</v>
      </c>
      <c r="R177" t="str">
        <f>TEXT(DATE(2026,E177,1),"mmmm")</f>
        <v>January</v>
      </c>
      <c r="S177" t="str">
        <f>IF(OR(H177=0,H177=6),"Weekend","Weekday")</f>
        <v>Weekend</v>
      </c>
      <c r="T177" s="1" t="str">
        <f>VLOOKUP(I177,[1]Lookup!$D$2:$E$5,2,FALSE)</f>
        <v>Clear</v>
      </c>
      <c r="U177" s="1" t="str">
        <f>IF(F177&lt;6,"Night",
IF(F177&lt;12,"Morning",
IF(F177&lt;17,"Afternoon",
IF(F177&lt;21,"Evening","Night"))))</f>
        <v>Afternoon</v>
      </c>
      <c r="V177" s="1" t="str">
        <f>IF(J177&lt;0.3,"Cold",
IF(J177&lt;0.6,"Pleasant","Hot"))</f>
        <v>Cold</v>
      </c>
      <c r="W177" s="1" t="str">
        <f>IF(L177&lt;0.4,"Low",
IF(L177&lt;0.7,"Medium","High"))</f>
        <v>Low</v>
      </c>
      <c r="X177" s="1" t="str">
        <f>IF(M177&lt;0.2,"Low",
IF(M177&lt;0.4,"Medium","High"))</f>
        <v>High</v>
      </c>
      <c r="Y177" s="1" t="str">
        <f>IF(P177&lt;100,"Low",
IF(P177&lt;300,"Medium","High"))</f>
        <v>Low</v>
      </c>
    </row>
    <row r="178" spans="1:25" x14ac:dyDescent="0.3">
      <c r="A178">
        <v>177</v>
      </c>
      <c r="B178" s="2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 t="str">
        <f>VLOOKUP(MasterData[[#This Row],[season]],[1]Lookup!$A$2:$B$5,2,FALSE)</f>
        <v>Spring</v>
      </c>
      <c r="R178" t="str">
        <f>TEXT(DATE(2026,E178,1),"mmmm")</f>
        <v>January</v>
      </c>
      <c r="S178" t="str">
        <f>IF(OR(H178=0,H178=6),"Weekend","Weekday")</f>
        <v>Weekend</v>
      </c>
      <c r="T178" s="1" t="str">
        <f>VLOOKUP(I178,[1]Lookup!$D$2:$E$5,2,FALSE)</f>
        <v>Clear</v>
      </c>
      <c r="U178" s="1" t="str">
        <f>IF(F178&lt;6,"Night",
IF(F178&lt;12,"Morning",
IF(F178&lt;17,"Afternoon",
IF(F178&lt;21,"Evening","Night"))))</f>
        <v>Afternoon</v>
      </c>
      <c r="V178" s="1" t="str">
        <f>IF(J178&lt;0.3,"Cold",
IF(J178&lt;0.6,"Pleasant","Hot"))</f>
        <v>Cold</v>
      </c>
      <c r="W178" s="1" t="str">
        <f>IF(L178&lt;0.4,"Low",
IF(L178&lt;0.7,"Medium","High"))</f>
        <v>Low</v>
      </c>
      <c r="X178" s="1" t="str">
        <f>IF(M178&lt;0.2,"Low",
IF(M178&lt;0.4,"Medium","High"))</f>
        <v>High</v>
      </c>
      <c r="Y178" s="1" t="str">
        <f>IF(P178&lt;100,"Low",
IF(P178&lt;300,"Medium","High"))</f>
        <v>Low</v>
      </c>
    </row>
    <row r="179" spans="1:25" x14ac:dyDescent="0.3">
      <c r="A179">
        <v>178</v>
      </c>
      <c r="B179" s="2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 t="str">
        <f>VLOOKUP(MasterData[[#This Row],[season]],[1]Lookup!$A$2:$B$5,2,FALSE)</f>
        <v>Spring</v>
      </c>
      <c r="R179" t="str">
        <f>TEXT(DATE(2026,E179,1),"mmmm")</f>
        <v>January</v>
      </c>
      <c r="S179" t="str">
        <f>IF(OR(H179=0,H179=6),"Weekend","Weekday")</f>
        <v>Weekend</v>
      </c>
      <c r="T179" s="1" t="str">
        <f>VLOOKUP(I179,[1]Lookup!$D$2:$E$5,2,FALSE)</f>
        <v>Clear</v>
      </c>
      <c r="U179" s="1" t="str">
        <f>IF(F179&lt;6,"Night",
IF(F179&lt;12,"Morning",
IF(F179&lt;17,"Afternoon",
IF(F179&lt;21,"Evening","Night"))))</f>
        <v>Afternoon</v>
      </c>
      <c r="V179" s="1" t="str">
        <f>IF(J179&lt;0.3,"Cold",
IF(J179&lt;0.6,"Pleasant","Hot"))</f>
        <v>Cold</v>
      </c>
      <c r="W179" s="1" t="str">
        <f>IF(L179&lt;0.4,"Low",
IF(L179&lt;0.7,"Medium","High"))</f>
        <v>Low</v>
      </c>
      <c r="X179" s="1" t="str">
        <f>IF(M179&lt;0.2,"Low",
IF(M179&lt;0.4,"Medium","High"))</f>
        <v>High</v>
      </c>
      <c r="Y179" s="1" t="str">
        <f>IF(P179&lt;100,"Low",
IF(P179&lt;300,"Medium","High"))</f>
        <v>Low</v>
      </c>
    </row>
    <row r="180" spans="1:25" x14ac:dyDescent="0.3">
      <c r="A180">
        <v>179</v>
      </c>
      <c r="B180" s="2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 t="str">
        <f>VLOOKUP(MasterData[[#This Row],[season]],[1]Lookup!$A$2:$B$5,2,FALSE)</f>
        <v>Spring</v>
      </c>
      <c r="R180" t="str">
        <f>TEXT(DATE(2026,E180,1),"mmmm")</f>
        <v>January</v>
      </c>
      <c r="S180" t="str">
        <f>IF(OR(H180=0,H180=6),"Weekend","Weekday")</f>
        <v>Weekend</v>
      </c>
      <c r="T180" s="1" t="str">
        <f>VLOOKUP(I180,[1]Lookup!$D$2:$E$5,2,FALSE)</f>
        <v>Clear</v>
      </c>
      <c r="U180" s="1" t="str">
        <f>IF(F180&lt;6,"Night",
IF(F180&lt;12,"Morning",
IF(F180&lt;17,"Afternoon",
IF(F180&lt;21,"Evening","Night"))))</f>
        <v>Evening</v>
      </c>
      <c r="V180" s="1" t="str">
        <f>IF(J180&lt;0.3,"Cold",
IF(J180&lt;0.6,"Pleasant","Hot"))</f>
        <v>Cold</v>
      </c>
      <c r="W180" s="1" t="str">
        <f>IF(L180&lt;0.4,"Low",
IF(L180&lt;0.7,"Medium","High"))</f>
        <v>Low</v>
      </c>
      <c r="X180" s="1" t="str">
        <f>IF(M180&lt;0.2,"Low",
IF(M180&lt;0.4,"Medium","High"))</f>
        <v>High</v>
      </c>
      <c r="Y180" s="1" t="str">
        <f>IF(P180&lt;100,"Low",
IF(P180&lt;300,"Medium","High"))</f>
        <v>Low</v>
      </c>
    </row>
    <row r="181" spans="1:25" x14ac:dyDescent="0.3">
      <c r="A181">
        <v>180</v>
      </c>
      <c r="B181" s="2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 t="str">
        <f>VLOOKUP(MasterData[[#This Row],[season]],[1]Lookup!$A$2:$B$5,2,FALSE)</f>
        <v>Spring</v>
      </c>
      <c r="R181" t="str">
        <f>TEXT(DATE(2026,E181,1),"mmmm")</f>
        <v>January</v>
      </c>
      <c r="S181" t="str">
        <f>IF(OR(H181=0,H181=6),"Weekend","Weekday")</f>
        <v>Weekend</v>
      </c>
      <c r="T181" s="1" t="str">
        <f>VLOOKUP(I181,[1]Lookup!$D$2:$E$5,2,FALSE)</f>
        <v>Clear</v>
      </c>
      <c r="U181" s="1" t="str">
        <f>IF(F181&lt;6,"Night",
IF(F181&lt;12,"Morning",
IF(F181&lt;17,"Afternoon",
IF(F181&lt;21,"Evening","Night"))))</f>
        <v>Evening</v>
      </c>
      <c r="V181" s="1" t="str">
        <f>IF(J181&lt;0.3,"Cold",
IF(J181&lt;0.6,"Pleasant","Hot"))</f>
        <v>Cold</v>
      </c>
      <c r="W181" s="1" t="str">
        <f>IF(L181&lt;0.4,"Low",
IF(L181&lt;0.7,"Medium","High"))</f>
        <v>Low</v>
      </c>
      <c r="X181" s="1" t="str">
        <f>IF(M181&lt;0.2,"Low",
IF(M181&lt;0.4,"Medium","High"))</f>
        <v>Medium</v>
      </c>
      <c r="Y181" s="1" t="str">
        <f>IF(P181&lt;100,"Low",
IF(P181&lt;300,"Medium","High"))</f>
        <v>Low</v>
      </c>
    </row>
    <row r="182" spans="1:25" x14ac:dyDescent="0.3">
      <c r="A182">
        <v>181</v>
      </c>
      <c r="B182" s="2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 t="str">
        <f>VLOOKUP(MasterData[[#This Row],[season]],[1]Lookup!$A$2:$B$5,2,FALSE)</f>
        <v>Spring</v>
      </c>
      <c r="R182" t="str">
        <f>TEXT(DATE(2026,E182,1),"mmmm")</f>
        <v>January</v>
      </c>
      <c r="S182" t="str">
        <f>IF(OR(H182=0,H182=6),"Weekend","Weekday")</f>
        <v>Weekend</v>
      </c>
      <c r="T182" s="1" t="str">
        <f>VLOOKUP(I182,[1]Lookup!$D$2:$E$5,2,FALSE)</f>
        <v>Clear</v>
      </c>
      <c r="U182" s="1" t="str">
        <f>IF(F182&lt;6,"Night",
IF(F182&lt;12,"Morning",
IF(F182&lt;17,"Afternoon",
IF(F182&lt;21,"Evening","Night"))))</f>
        <v>Evening</v>
      </c>
      <c r="V182" s="1" t="str">
        <f>IF(J182&lt;0.3,"Cold",
IF(J182&lt;0.6,"Pleasant","Hot"))</f>
        <v>Cold</v>
      </c>
      <c r="W182" s="1" t="str">
        <f>IF(L182&lt;0.4,"Low",
IF(L182&lt;0.7,"Medium","High"))</f>
        <v>Low</v>
      </c>
      <c r="X182" s="1" t="str">
        <f>IF(M182&lt;0.2,"Low",
IF(M182&lt;0.4,"Medium","High"))</f>
        <v>Medium</v>
      </c>
      <c r="Y182" s="1" t="str">
        <f>IF(P182&lt;100,"Low",
IF(P182&lt;300,"Medium","High"))</f>
        <v>Low</v>
      </c>
    </row>
    <row r="183" spans="1:25" x14ac:dyDescent="0.3">
      <c r="A183">
        <v>182</v>
      </c>
      <c r="B183" s="2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 t="str">
        <f>VLOOKUP(MasterData[[#This Row],[season]],[1]Lookup!$A$2:$B$5,2,FALSE)</f>
        <v>Spring</v>
      </c>
      <c r="R183" t="str">
        <f>TEXT(DATE(2026,E183,1),"mmmm")</f>
        <v>January</v>
      </c>
      <c r="S183" t="str">
        <f>IF(OR(H183=0,H183=6),"Weekend","Weekday")</f>
        <v>Weekend</v>
      </c>
      <c r="T183" s="1" t="str">
        <f>VLOOKUP(I183,[1]Lookup!$D$2:$E$5,2,FALSE)</f>
        <v>Clear</v>
      </c>
      <c r="U183" s="1" t="str">
        <f>IF(F183&lt;6,"Night",
IF(F183&lt;12,"Morning",
IF(F183&lt;17,"Afternoon",
IF(F183&lt;21,"Evening","Night"))))</f>
        <v>Evening</v>
      </c>
      <c r="V183" s="1" t="str">
        <f>IF(J183&lt;0.3,"Cold",
IF(J183&lt;0.6,"Pleasant","Hot"))</f>
        <v>Cold</v>
      </c>
      <c r="W183" s="1" t="str">
        <f>IF(L183&lt;0.4,"Low",
IF(L183&lt;0.7,"Medium","High"))</f>
        <v>Low</v>
      </c>
      <c r="X183" s="1" t="str">
        <f>IF(M183&lt;0.2,"Low",
IF(M183&lt;0.4,"Medium","High"))</f>
        <v>Medium</v>
      </c>
      <c r="Y183" s="1" t="str">
        <f>IF(P183&lt;100,"Low",
IF(P183&lt;300,"Medium","High"))</f>
        <v>Low</v>
      </c>
    </row>
    <row r="184" spans="1:25" x14ac:dyDescent="0.3">
      <c r="A184">
        <v>183</v>
      </c>
      <c r="B184" s="2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 t="str">
        <f>VLOOKUP(MasterData[[#This Row],[season]],[1]Lookup!$A$2:$B$5,2,FALSE)</f>
        <v>Spring</v>
      </c>
      <c r="R184" t="str">
        <f>TEXT(DATE(2026,E184,1),"mmmm")</f>
        <v>January</v>
      </c>
      <c r="S184" t="str">
        <f>IF(OR(H184=0,H184=6),"Weekend","Weekday")</f>
        <v>Weekend</v>
      </c>
      <c r="T184" s="1" t="str">
        <f>VLOOKUP(I184,[1]Lookup!$D$2:$E$5,2,FALSE)</f>
        <v>Clear</v>
      </c>
      <c r="U184" s="1" t="str">
        <f>IF(F184&lt;6,"Night",
IF(F184&lt;12,"Morning",
IF(F184&lt;17,"Afternoon",
IF(F184&lt;21,"Evening","Night"))))</f>
        <v>Night</v>
      </c>
      <c r="V184" s="1" t="str">
        <f>IF(J184&lt;0.3,"Cold",
IF(J184&lt;0.6,"Pleasant","Hot"))</f>
        <v>Cold</v>
      </c>
      <c r="W184" s="1" t="str">
        <f>IF(L184&lt;0.4,"Low",
IF(L184&lt;0.7,"Medium","High"))</f>
        <v>Low</v>
      </c>
      <c r="X184" s="1" t="str">
        <f>IF(M184&lt;0.2,"Low",
IF(M184&lt;0.4,"Medium","High"))</f>
        <v>Medium</v>
      </c>
      <c r="Y184" s="1" t="str">
        <f>IF(P184&lt;100,"Low",
IF(P184&lt;300,"Medium","High"))</f>
        <v>Low</v>
      </c>
    </row>
    <row r="185" spans="1:25" x14ac:dyDescent="0.3">
      <c r="A185">
        <v>184</v>
      </c>
      <c r="B185" s="2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  <c r="Q185" t="str">
        <f>VLOOKUP(MasterData[[#This Row],[season]],[1]Lookup!$A$2:$B$5,2,FALSE)</f>
        <v>Spring</v>
      </c>
      <c r="R185" t="str">
        <f>TEXT(DATE(2026,E185,1),"mmmm")</f>
        <v>January</v>
      </c>
      <c r="S185" t="str">
        <f>IF(OR(H185=0,H185=6),"Weekend","Weekday")</f>
        <v>Weekend</v>
      </c>
      <c r="T185" s="1" t="str">
        <f>VLOOKUP(I185,[1]Lookup!$D$2:$E$5,2,FALSE)</f>
        <v>Clear</v>
      </c>
      <c r="U185" s="1" t="str">
        <f>IF(F185&lt;6,"Night",
IF(F185&lt;12,"Morning",
IF(F185&lt;17,"Afternoon",
IF(F185&lt;21,"Evening","Night"))))</f>
        <v>Night</v>
      </c>
      <c r="V185" s="1" t="str">
        <f>IF(J185&lt;0.3,"Cold",
IF(J185&lt;0.6,"Pleasant","Hot"))</f>
        <v>Cold</v>
      </c>
      <c r="W185" s="1" t="str">
        <f>IF(L185&lt;0.4,"Low",
IF(L185&lt;0.7,"Medium","High"))</f>
        <v>Low</v>
      </c>
      <c r="X185" s="1" t="str">
        <f>IF(M185&lt;0.2,"Low",
IF(M185&lt;0.4,"Medium","High"))</f>
        <v>Medium</v>
      </c>
      <c r="Y185" s="1" t="str">
        <f>IF(P185&lt;100,"Low",
IF(P185&lt;300,"Medium","High"))</f>
        <v>Low</v>
      </c>
    </row>
    <row r="186" spans="1:25" x14ac:dyDescent="0.3">
      <c r="A186">
        <v>185</v>
      </c>
      <c r="B186" s="2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 t="str">
        <f>VLOOKUP(MasterData[[#This Row],[season]],[1]Lookup!$A$2:$B$5,2,FALSE)</f>
        <v>Spring</v>
      </c>
      <c r="R186" t="str">
        <f>TEXT(DATE(2026,E186,1),"mmmm")</f>
        <v>January</v>
      </c>
      <c r="S186" t="str">
        <f>IF(OR(H186=0,H186=6),"Weekend","Weekday")</f>
        <v>Weekend</v>
      </c>
      <c r="T186" s="1" t="str">
        <f>VLOOKUP(I186,[1]Lookup!$D$2:$E$5,2,FALSE)</f>
        <v>Clear</v>
      </c>
      <c r="U186" s="1" t="str">
        <f>IF(F186&lt;6,"Night",
IF(F186&lt;12,"Morning",
IF(F186&lt;17,"Afternoon",
IF(F186&lt;21,"Evening","Night"))))</f>
        <v>Night</v>
      </c>
      <c r="V186" s="1" t="str">
        <f>IF(J186&lt;0.3,"Cold",
IF(J186&lt;0.6,"Pleasant","Hot"))</f>
        <v>Cold</v>
      </c>
      <c r="W186" s="1" t="str">
        <f>IF(L186&lt;0.4,"Low",
IF(L186&lt;0.7,"Medium","High"))</f>
        <v>Low</v>
      </c>
      <c r="X186" s="1" t="str">
        <f>IF(M186&lt;0.2,"Low",
IF(M186&lt;0.4,"Medium","High"))</f>
        <v>High</v>
      </c>
      <c r="Y186" s="1" t="str">
        <f>IF(P186&lt;100,"Low",
IF(P186&lt;300,"Medium","High"))</f>
        <v>Low</v>
      </c>
    </row>
    <row r="187" spans="1:25" x14ac:dyDescent="0.3">
      <c r="A187">
        <v>186</v>
      </c>
      <c r="B187" s="2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 t="str">
        <f>VLOOKUP(MasterData[[#This Row],[season]],[1]Lookup!$A$2:$B$5,2,FALSE)</f>
        <v>Spring</v>
      </c>
      <c r="R187" t="str">
        <f>TEXT(DATE(2026,E187,1),"mmmm")</f>
        <v>January</v>
      </c>
      <c r="S187" t="str">
        <f>IF(OR(H187=0,H187=6),"Weekend","Weekday")</f>
        <v>Weekend</v>
      </c>
      <c r="T187" s="1" t="str">
        <f>VLOOKUP(I187,[1]Lookup!$D$2:$E$5,2,FALSE)</f>
        <v>Clear</v>
      </c>
      <c r="U187" s="1" t="str">
        <f>IF(F187&lt;6,"Night",
IF(F187&lt;12,"Morning",
IF(F187&lt;17,"Afternoon",
IF(F187&lt;21,"Evening","Night"))))</f>
        <v>Night</v>
      </c>
      <c r="V187" s="1" t="str">
        <f>IF(J187&lt;0.3,"Cold",
IF(J187&lt;0.6,"Pleasant","Hot"))</f>
        <v>Cold</v>
      </c>
      <c r="W187" s="1" t="str">
        <f>IF(L187&lt;0.4,"Low",
IF(L187&lt;0.7,"Medium","High"))</f>
        <v>Medium</v>
      </c>
      <c r="X187" s="1" t="str">
        <f>IF(M187&lt;0.2,"Low",
IF(M187&lt;0.4,"Medium","High"))</f>
        <v>Medium</v>
      </c>
      <c r="Y187" s="1" t="str">
        <f>IF(P187&lt;100,"Low",
IF(P187&lt;300,"Medium","High"))</f>
        <v>Low</v>
      </c>
    </row>
    <row r="188" spans="1:25" x14ac:dyDescent="0.3">
      <c r="A188">
        <v>187</v>
      </c>
      <c r="B188" s="2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 t="str">
        <f>VLOOKUP(MasterData[[#This Row],[season]],[1]Lookup!$A$2:$B$5,2,FALSE)</f>
        <v>Spring</v>
      </c>
      <c r="R188" t="str">
        <f>TEXT(DATE(2026,E188,1),"mmmm")</f>
        <v>January</v>
      </c>
      <c r="S188" t="str">
        <f>IF(OR(H188=0,H188=6),"Weekend","Weekday")</f>
        <v>Weekend</v>
      </c>
      <c r="T188" s="1" t="str">
        <f>VLOOKUP(I188,[1]Lookup!$D$2:$E$5,2,FALSE)</f>
        <v>Clear</v>
      </c>
      <c r="U188" s="1" t="str">
        <f>IF(F188&lt;6,"Night",
IF(F188&lt;12,"Morning",
IF(F188&lt;17,"Afternoon",
IF(F188&lt;21,"Evening","Night"))))</f>
        <v>Night</v>
      </c>
      <c r="V188" s="1" t="str">
        <f>IF(J188&lt;0.3,"Cold",
IF(J188&lt;0.6,"Pleasant","Hot"))</f>
        <v>Cold</v>
      </c>
      <c r="W188" s="1" t="str">
        <f>IF(L188&lt;0.4,"Low",
IF(L188&lt;0.7,"Medium","High"))</f>
        <v>Medium</v>
      </c>
      <c r="X188" s="1" t="str">
        <f>IF(M188&lt;0.2,"Low",
IF(M188&lt;0.4,"Medium","High"))</f>
        <v>High</v>
      </c>
      <c r="Y188" s="1" t="str">
        <f>IF(P188&lt;100,"Low",
IF(P188&lt;300,"Medium","High"))</f>
        <v>Low</v>
      </c>
    </row>
    <row r="189" spans="1:25" x14ac:dyDescent="0.3">
      <c r="A189">
        <v>188</v>
      </c>
      <c r="B189" s="2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 t="str">
        <f>VLOOKUP(MasterData[[#This Row],[season]],[1]Lookup!$A$2:$B$5,2,FALSE)</f>
        <v>Spring</v>
      </c>
      <c r="R189" t="str">
        <f>TEXT(DATE(2026,E189,1),"mmmm")</f>
        <v>January</v>
      </c>
      <c r="S189" t="str">
        <f>IF(OR(H189=0,H189=6),"Weekend","Weekday")</f>
        <v>Weekend</v>
      </c>
      <c r="T189" s="1" t="str">
        <f>VLOOKUP(I189,[1]Lookup!$D$2:$E$5,2,FALSE)</f>
        <v>Clear</v>
      </c>
      <c r="U189" s="1" t="str">
        <f>IF(F189&lt;6,"Night",
IF(F189&lt;12,"Morning",
IF(F189&lt;17,"Afternoon",
IF(F189&lt;21,"Evening","Night"))))</f>
        <v>Night</v>
      </c>
      <c r="V189" s="1" t="str">
        <f>IF(J189&lt;0.3,"Cold",
IF(J189&lt;0.6,"Pleasant","Hot"))</f>
        <v>Cold</v>
      </c>
      <c r="W189" s="1" t="str">
        <f>IF(L189&lt;0.4,"Low",
IF(L189&lt;0.7,"Medium","High"))</f>
        <v>Medium</v>
      </c>
      <c r="X189" s="1" t="str">
        <f>IF(M189&lt;0.2,"Low",
IF(M189&lt;0.4,"Medium","High"))</f>
        <v>High</v>
      </c>
      <c r="Y189" s="1" t="str">
        <f>IF(P189&lt;100,"Low",
IF(P189&lt;300,"Medium","High"))</f>
        <v>Low</v>
      </c>
    </row>
    <row r="190" spans="1:25" x14ac:dyDescent="0.3">
      <c r="A190">
        <v>189</v>
      </c>
      <c r="B190" s="2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 t="str">
        <f>VLOOKUP(MasterData[[#This Row],[season]],[1]Lookup!$A$2:$B$5,2,FALSE)</f>
        <v>Spring</v>
      </c>
      <c r="R190" t="str">
        <f>TEXT(DATE(2026,E190,1),"mmmm")</f>
        <v>January</v>
      </c>
      <c r="S190" t="str">
        <f>IF(OR(H190=0,H190=6),"Weekend","Weekday")</f>
        <v>Weekend</v>
      </c>
      <c r="T190" s="1" t="str">
        <f>VLOOKUP(I190,[1]Lookup!$D$2:$E$5,2,FALSE)</f>
        <v>Clear</v>
      </c>
      <c r="U190" s="1" t="str">
        <f>IF(F190&lt;6,"Night",
IF(F190&lt;12,"Morning",
IF(F190&lt;17,"Afternoon",
IF(F190&lt;21,"Evening","Night"))))</f>
        <v>Night</v>
      </c>
      <c r="V190" s="1" t="str">
        <f>IF(J190&lt;0.3,"Cold",
IF(J190&lt;0.6,"Pleasant","Hot"))</f>
        <v>Cold</v>
      </c>
      <c r="W190" s="1" t="str">
        <f>IF(L190&lt;0.4,"Low",
IF(L190&lt;0.7,"Medium","High"))</f>
        <v>Medium</v>
      </c>
      <c r="X190" s="1" t="str">
        <f>IF(M190&lt;0.2,"Low",
IF(M190&lt;0.4,"Medium","High"))</f>
        <v>High</v>
      </c>
      <c r="Y190" s="1" t="str">
        <f>IF(P190&lt;100,"Low",
IF(P190&lt;300,"Medium","High"))</f>
        <v>Low</v>
      </c>
    </row>
    <row r="191" spans="1:25" x14ac:dyDescent="0.3">
      <c r="A191">
        <v>190</v>
      </c>
      <c r="B191" s="2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 t="str">
        <f>VLOOKUP(MasterData[[#This Row],[season]],[1]Lookup!$A$2:$B$5,2,FALSE)</f>
        <v>Spring</v>
      </c>
      <c r="R191" t="str">
        <f>TEXT(DATE(2026,E191,1),"mmmm")</f>
        <v>January</v>
      </c>
      <c r="S191" t="str">
        <f>IF(OR(H191=0,H191=6),"Weekend","Weekday")</f>
        <v>Weekend</v>
      </c>
      <c r="T191" s="1" t="str">
        <f>VLOOKUP(I191,[1]Lookup!$D$2:$E$5,2,FALSE)</f>
        <v>Clear</v>
      </c>
      <c r="U191" s="1" t="str">
        <f>IF(F191&lt;6,"Night",
IF(F191&lt;12,"Morning",
IF(F191&lt;17,"Afternoon",
IF(F191&lt;21,"Evening","Night"))))</f>
        <v>Night</v>
      </c>
      <c r="V191" s="1" t="str">
        <f>IF(J191&lt;0.3,"Cold",
IF(J191&lt;0.6,"Pleasant","Hot"))</f>
        <v>Cold</v>
      </c>
      <c r="W191" s="1" t="str">
        <f>IF(L191&lt;0.4,"Low",
IF(L191&lt;0.7,"Medium","High"))</f>
        <v>Medium</v>
      </c>
      <c r="X191" s="1" t="str">
        <f>IF(M191&lt;0.2,"Low",
IF(M191&lt;0.4,"Medium","High"))</f>
        <v>Low</v>
      </c>
      <c r="Y191" s="1" t="str">
        <f>IF(P191&lt;100,"Low",
IF(P191&lt;300,"Medium","High"))</f>
        <v>Low</v>
      </c>
    </row>
    <row r="192" spans="1:25" x14ac:dyDescent="0.3">
      <c r="A192">
        <v>191</v>
      </c>
      <c r="B192" s="2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 t="str">
        <f>VLOOKUP(MasterData[[#This Row],[season]],[1]Lookup!$A$2:$B$5,2,FALSE)</f>
        <v>Spring</v>
      </c>
      <c r="R192" t="str">
        <f>TEXT(DATE(2026,E192,1),"mmmm")</f>
        <v>January</v>
      </c>
      <c r="S192" t="str">
        <f>IF(OR(H192=0,H192=6),"Weekend","Weekday")</f>
        <v>Weekend</v>
      </c>
      <c r="T192" s="1" t="str">
        <f>VLOOKUP(I192,[1]Lookup!$D$2:$E$5,2,FALSE)</f>
        <v>Clear</v>
      </c>
      <c r="U192" s="1" t="str">
        <f>IF(F192&lt;6,"Night",
IF(F192&lt;12,"Morning",
IF(F192&lt;17,"Afternoon",
IF(F192&lt;21,"Evening","Night"))))</f>
        <v>Night</v>
      </c>
      <c r="V192" s="1" t="str">
        <f>IF(J192&lt;0.3,"Cold",
IF(J192&lt;0.6,"Pleasant","Hot"))</f>
        <v>Cold</v>
      </c>
      <c r="W192" s="1" t="str">
        <f>IF(L192&lt;0.4,"Low",
IF(L192&lt;0.7,"Medium","High"))</f>
        <v>Medium</v>
      </c>
      <c r="X192" s="1" t="str">
        <f>IF(M192&lt;0.2,"Low",
IF(M192&lt;0.4,"Medium","High"))</f>
        <v>Low</v>
      </c>
      <c r="Y192" s="1" t="str">
        <f>IF(P192&lt;100,"Low",
IF(P192&lt;300,"Medium","High"))</f>
        <v>Low</v>
      </c>
    </row>
    <row r="193" spans="1:25" x14ac:dyDescent="0.3">
      <c r="A193">
        <v>192</v>
      </c>
      <c r="B193" s="2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 t="str">
        <f>VLOOKUP(MasterData[[#This Row],[season]],[1]Lookup!$A$2:$B$5,2,FALSE)</f>
        <v>Spring</v>
      </c>
      <c r="R193" t="str">
        <f>TEXT(DATE(2026,E193,1),"mmmm")</f>
        <v>January</v>
      </c>
      <c r="S193" t="str">
        <f>IF(OR(H193=0,H193=6),"Weekend","Weekday")</f>
        <v>Weekend</v>
      </c>
      <c r="T193" s="1" t="str">
        <f>VLOOKUP(I193,[1]Lookup!$D$2:$E$5,2,FALSE)</f>
        <v>Clear</v>
      </c>
      <c r="U193" s="1" t="str">
        <f>IF(F193&lt;6,"Night",
IF(F193&lt;12,"Morning",
IF(F193&lt;17,"Afternoon",
IF(F193&lt;21,"Evening","Night"))))</f>
        <v>Morning</v>
      </c>
      <c r="V193" s="1" t="str">
        <f>IF(J193&lt;0.3,"Cold",
IF(J193&lt;0.6,"Pleasant","Hot"))</f>
        <v>Cold</v>
      </c>
      <c r="W193" s="1" t="str">
        <f>IF(L193&lt;0.4,"Low",
IF(L193&lt;0.7,"Medium","High"))</f>
        <v>Medium</v>
      </c>
      <c r="X193" s="1" t="str">
        <f>IF(M193&lt;0.2,"Low",
IF(M193&lt;0.4,"Medium","High"))</f>
        <v>Medium</v>
      </c>
      <c r="Y193" s="1" t="str">
        <f>IF(P193&lt;100,"Low",
IF(P193&lt;300,"Medium","High"))</f>
        <v>Low</v>
      </c>
    </row>
    <row r="194" spans="1:25" x14ac:dyDescent="0.3">
      <c r="A194">
        <v>193</v>
      </c>
      <c r="B194" s="2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 t="str">
        <f>VLOOKUP(MasterData[[#This Row],[season]],[1]Lookup!$A$2:$B$5,2,FALSE)</f>
        <v>Spring</v>
      </c>
      <c r="R194" t="str">
        <f>TEXT(DATE(2026,E194,1),"mmmm")</f>
        <v>January</v>
      </c>
      <c r="S194" t="str">
        <f>IF(OR(H194=0,H194=6),"Weekend","Weekday")</f>
        <v>Weekend</v>
      </c>
      <c r="T194" s="1" t="str">
        <f>VLOOKUP(I194,[1]Lookup!$D$2:$E$5,2,FALSE)</f>
        <v>Clear</v>
      </c>
      <c r="U194" s="1" t="str">
        <f>IF(F194&lt;6,"Night",
IF(F194&lt;12,"Morning",
IF(F194&lt;17,"Afternoon",
IF(F194&lt;21,"Evening","Night"))))</f>
        <v>Morning</v>
      </c>
      <c r="V194" s="1" t="str">
        <f>IF(J194&lt;0.3,"Cold",
IF(J194&lt;0.6,"Pleasant","Hot"))</f>
        <v>Cold</v>
      </c>
      <c r="W194" s="1" t="str">
        <f>IF(L194&lt;0.4,"Low",
IF(L194&lt;0.7,"Medium","High"))</f>
        <v>Medium</v>
      </c>
      <c r="X194" s="1" t="str">
        <f>IF(M194&lt;0.2,"Low",
IF(M194&lt;0.4,"Medium","High"))</f>
        <v>Low</v>
      </c>
      <c r="Y194" s="1" t="str">
        <f>IF(P194&lt;100,"Low",
IF(P194&lt;300,"Medium","High"))</f>
        <v>Low</v>
      </c>
    </row>
    <row r="195" spans="1:25" x14ac:dyDescent="0.3">
      <c r="A195">
        <v>194</v>
      </c>
      <c r="B195" s="2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 t="str">
        <f>VLOOKUP(MasterData[[#This Row],[season]],[1]Lookup!$A$2:$B$5,2,FALSE)</f>
        <v>Spring</v>
      </c>
      <c r="R195" t="str">
        <f>TEXT(DATE(2026,E195,1),"mmmm")</f>
        <v>January</v>
      </c>
      <c r="S195" t="str">
        <f>IF(OR(H195=0,H195=6),"Weekend","Weekday")</f>
        <v>Weekend</v>
      </c>
      <c r="T195" s="1" t="str">
        <f>VLOOKUP(I195,[1]Lookup!$D$2:$E$5,2,FALSE)</f>
        <v>Clear</v>
      </c>
      <c r="U195" s="1" t="str">
        <f>IF(F195&lt;6,"Night",
IF(F195&lt;12,"Morning",
IF(F195&lt;17,"Afternoon",
IF(F195&lt;21,"Evening","Night"))))</f>
        <v>Morning</v>
      </c>
      <c r="V195" s="1" t="str">
        <f>IF(J195&lt;0.3,"Cold",
IF(J195&lt;0.6,"Pleasant","Hot"))</f>
        <v>Cold</v>
      </c>
      <c r="W195" s="1" t="str">
        <f>IF(L195&lt;0.4,"Low",
IF(L195&lt;0.7,"Medium","High"))</f>
        <v>Medium</v>
      </c>
      <c r="X195" s="1" t="str">
        <f>IF(M195&lt;0.2,"Low",
IF(M195&lt;0.4,"Medium","High"))</f>
        <v>Medium</v>
      </c>
      <c r="Y195" s="1" t="str">
        <f>IF(P195&lt;100,"Low",
IF(P195&lt;300,"Medium","High"))</f>
        <v>Low</v>
      </c>
    </row>
    <row r="196" spans="1:25" x14ac:dyDescent="0.3">
      <c r="A196">
        <v>195</v>
      </c>
      <c r="B196" s="2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 t="str">
        <f>VLOOKUP(MasterData[[#This Row],[season]],[1]Lookup!$A$2:$B$5,2,FALSE)</f>
        <v>Spring</v>
      </c>
      <c r="R196" t="str">
        <f>TEXT(DATE(2026,E196,1),"mmmm")</f>
        <v>January</v>
      </c>
      <c r="S196" t="str">
        <f>IF(OR(H196=0,H196=6),"Weekend","Weekday")</f>
        <v>Weekend</v>
      </c>
      <c r="T196" s="1" t="str">
        <f>VLOOKUP(I196,[1]Lookup!$D$2:$E$5,2,FALSE)</f>
        <v>Clear</v>
      </c>
      <c r="U196" s="1" t="str">
        <f>IF(F196&lt;6,"Night",
IF(F196&lt;12,"Morning",
IF(F196&lt;17,"Afternoon",
IF(F196&lt;21,"Evening","Night"))))</f>
        <v>Morning</v>
      </c>
      <c r="V196" s="1" t="str">
        <f>IF(J196&lt;0.3,"Cold",
IF(J196&lt;0.6,"Pleasant","Hot"))</f>
        <v>Cold</v>
      </c>
      <c r="W196" s="1" t="str">
        <f>IF(L196&lt;0.4,"Low",
IF(L196&lt;0.7,"Medium","High"))</f>
        <v>Medium</v>
      </c>
      <c r="X196" s="1" t="str">
        <f>IF(M196&lt;0.2,"Low",
IF(M196&lt;0.4,"Medium","High"))</f>
        <v>High</v>
      </c>
      <c r="Y196" s="1" t="str">
        <f>IF(P196&lt;100,"Low",
IF(P196&lt;300,"Medium","High"))</f>
        <v>Low</v>
      </c>
    </row>
    <row r="197" spans="1:25" x14ac:dyDescent="0.3">
      <c r="A197">
        <v>196</v>
      </c>
      <c r="B197" s="2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  <c r="Q197" t="str">
        <f>VLOOKUP(MasterData[[#This Row],[season]],[1]Lookup!$A$2:$B$5,2,FALSE)</f>
        <v>Spring</v>
      </c>
      <c r="R197" t="str">
        <f>TEXT(DATE(2026,E197,1),"mmmm")</f>
        <v>January</v>
      </c>
      <c r="S197" t="str">
        <f>IF(OR(H197=0,H197=6),"Weekend","Weekday")</f>
        <v>Weekend</v>
      </c>
      <c r="T197" s="1" t="str">
        <f>VLOOKUP(I197,[1]Lookup!$D$2:$E$5,2,FALSE)</f>
        <v>Clear</v>
      </c>
      <c r="U197" s="1" t="str">
        <f>IF(F197&lt;6,"Night",
IF(F197&lt;12,"Morning",
IF(F197&lt;17,"Afternoon",
IF(F197&lt;21,"Evening","Night"))))</f>
        <v>Morning</v>
      </c>
      <c r="V197" s="1" t="str">
        <f>IF(J197&lt;0.3,"Cold",
IF(J197&lt;0.6,"Pleasant","Hot"))</f>
        <v>Cold</v>
      </c>
      <c r="W197" s="1" t="str">
        <f>IF(L197&lt;0.4,"Low",
IF(L197&lt;0.7,"Medium","High"))</f>
        <v>Medium</v>
      </c>
      <c r="X197" s="1" t="str">
        <f>IF(M197&lt;0.2,"Low",
IF(M197&lt;0.4,"Medium","High"))</f>
        <v>Medium</v>
      </c>
      <c r="Y197" s="1" t="str">
        <f>IF(P197&lt;100,"Low",
IF(P197&lt;300,"Medium","High"))</f>
        <v>Low</v>
      </c>
    </row>
    <row r="198" spans="1:25" x14ac:dyDescent="0.3">
      <c r="A198">
        <v>197</v>
      </c>
      <c r="B198" s="2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 t="str">
        <f>VLOOKUP(MasterData[[#This Row],[season]],[1]Lookup!$A$2:$B$5,2,FALSE)</f>
        <v>Spring</v>
      </c>
      <c r="R198" t="str">
        <f>TEXT(DATE(2026,E198,1),"mmmm")</f>
        <v>January</v>
      </c>
      <c r="S198" t="str">
        <f>IF(OR(H198=0,H198=6),"Weekend","Weekday")</f>
        <v>Weekend</v>
      </c>
      <c r="T198" s="1" t="str">
        <f>VLOOKUP(I198,[1]Lookup!$D$2:$E$5,2,FALSE)</f>
        <v>Clear</v>
      </c>
      <c r="U198" s="1" t="str">
        <f>IF(F198&lt;6,"Night",
IF(F198&lt;12,"Morning",
IF(F198&lt;17,"Afternoon",
IF(F198&lt;21,"Evening","Night"))))</f>
        <v>Morning</v>
      </c>
      <c r="V198" s="1" t="str">
        <f>IF(J198&lt;0.3,"Cold",
IF(J198&lt;0.6,"Pleasant","Hot"))</f>
        <v>Cold</v>
      </c>
      <c r="W198" s="1" t="str">
        <f>IF(L198&lt;0.4,"Low",
IF(L198&lt;0.7,"Medium","High"))</f>
        <v>Medium</v>
      </c>
      <c r="X198" s="1" t="str">
        <f>IF(M198&lt;0.2,"Low",
IF(M198&lt;0.4,"Medium","High"))</f>
        <v>High</v>
      </c>
      <c r="Y198" s="1" t="str">
        <f>IF(P198&lt;100,"Low",
IF(P198&lt;300,"Medium","High"))</f>
        <v>Low</v>
      </c>
    </row>
    <row r="199" spans="1:25" x14ac:dyDescent="0.3">
      <c r="A199">
        <v>198</v>
      </c>
      <c r="B199" s="2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 t="str">
        <f>VLOOKUP(MasterData[[#This Row],[season]],[1]Lookup!$A$2:$B$5,2,FALSE)</f>
        <v>Spring</v>
      </c>
      <c r="R199" t="str">
        <f>TEXT(DATE(2026,E199,1),"mmmm")</f>
        <v>January</v>
      </c>
      <c r="S199" t="str">
        <f>IF(OR(H199=0,H199=6),"Weekend","Weekday")</f>
        <v>Weekend</v>
      </c>
      <c r="T199" s="1" t="str">
        <f>VLOOKUP(I199,[1]Lookup!$D$2:$E$5,2,FALSE)</f>
        <v>Clear</v>
      </c>
      <c r="U199" s="1" t="str">
        <f>IF(F199&lt;6,"Night",
IF(F199&lt;12,"Morning",
IF(F199&lt;17,"Afternoon",
IF(F199&lt;21,"Evening","Night"))))</f>
        <v>Afternoon</v>
      </c>
      <c r="V199" s="1" t="str">
        <f>IF(J199&lt;0.3,"Cold",
IF(J199&lt;0.6,"Pleasant","Hot"))</f>
        <v>Cold</v>
      </c>
      <c r="W199" s="1" t="str">
        <f>IF(L199&lt;0.4,"Low",
IF(L199&lt;0.7,"Medium","High"))</f>
        <v>Low</v>
      </c>
      <c r="X199" s="1" t="str">
        <f>IF(M199&lt;0.2,"Low",
IF(M199&lt;0.4,"Medium","High"))</f>
        <v>High</v>
      </c>
      <c r="Y199" s="1" t="str">
        <f>IF(P199&lt;100,"Low",
IF(P199&lt;300,"Medium","High"))</f>
        <v>Low</v>
      </c>
    </row>
    <row r="200" spans="1:25" x14ac:dyDescent="0.3">
      <c r="A200">
        <v>199</v>
      </c>
      <c r="B200" s="2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 t="str">
        <f>VLOOKUP(MasterData[[#This Row],[season]],[1]Lookup!$A$2:$B$5,2,FALSE)</f>
        <v>Spring</v>
      </c>
      <c r="R200" t="str">
        <f>TEXT(DATE(2026,E200,1),"mmmm")</f>
        <v>January</v>
      </c>
      <c r="S200" t="str">
        <f>IF(OR(H200=0,H200=6),"Weekend","Weekday")</f>
        <v>Weekend</v>
      </c>
      <c r="T200" s="1" t="str">
        <f>VLOOKUP(I200,[1]Lookup!$D$2:$E$5,2,FALSE)</f>
        <v>Clear</v>
      </c>
      <c r="U200" s="1" t="str">
        <f>IF(F200&lt;6,"Night",
IF(F200&lt;12,"Morning",
IF(F200&lt;17,"Afternoon",
IF(F200&lt;21,"Evening","Night"))))</f>
        <v>Afternoon</v>
      </c>
      <c r="V200" s="1" t="str">
        <f>IF(J200&lt;0.3,"Cold",
IF(J200&lt;0.6,"Pleasant","Hot"))</f>
        <v>Cold</v>
      </c>
      <c r="W200" s="1" t="str">
        <f>IF(L200&lt;0.4,"Low",
IF(L200&lt;0.7,"Medium","High"))</f>
        <v>Low</v>
      </c>
      <c r="X200" s="1" t="str">
        <f>IF(M200&lt;0.2,"Low",
IF(M200&lt;0.4,"Medium","High"))</f>
        <v>High</v>
      </c>
      <c r="Y200" s="1" t="str">
        <f>IF(P200&lt;100,"Low",
IF(P200&lt;300,"Medium","High"))</f>
        <v>Low</v>
      </c>
    </row>
    <row r="201" spans="1:25" x14ac:dyDescent="0.3">
      <c r="A201">
        <v>200</v>
      </c>
      <c r="B201" s="2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  <c r="Q201" t="str">
        <f>VLOOKUP(MasterData[[#This Row],[season]],[1]Lookup!$A$2:$B$5,2,FALSE)</f>
        <v>Spring</v>
      </c>
      <c r="R201" t="str">
        <f>TEXT(DATE(2026,E201,1),"mmmm")</f>
        <v>January</v>
      </c>
      <c r="S201" t="str">
        <f>IF(OR(H201=0,H201=6),"Weekend","Weekday")</f>
        <v>Weekend</v>
      </c>
      <c r="T201" s="1" t="str">
        <f>VLOOKUP(I201,[1]Lookup!$D$2:$E$5,2,FALSE)</f>
        <v>Clear</v>
      </c>
      <c r="U201" s="1" t="str">
        <f>IF(F201&lt;6,"Night",
IF(F201&lt;12,"Morning",
IF(F201&lt;17,"Afternoon",
IF(F201&lt;21,"Evening","Night"))))</f>
        <v>Afternoon</v>
      </c>
      <c r="V201" s="1" t="str">
        <f>IF(J201&lt;0.3,"Cold",
IF(J201&lt;0.6,"Pleasant","Hot"))</f>
        <v>Cold</v>
      </c>
      <c r="W201" s="1" t="str">
        <f>IF(L201&lt;0.4,"Low",
IF(L201&lt;0.7,"Medium","High"))</f>
        <v>Low</v>
      </c>
      <c r="X201" s="1" t="str">
        <f>IF(M201&lt;0.2,"Low",
IF(M201&lt;0.4,"Medium","High"))</f>
        <v>High</v>
      </c>
      <c r="Y201" s="1" t="str">
        <f>IF(P201&lt;100,"Low",
IF(P201&lt;300,"Medium","High"))</f>
        <v>Low</v>
      </c>
    </row>
    <row r="202" spans="1:25" x14ac:dyDescent="0.3">
      <c r="A202">
        <v>201</v>
      </c>
      <c r="B202" s="2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 t="str">
        <f>VLOOKUP(MasterData[[#This Row],[season]],[1]Lookup!$A$2:$B$5,2,FALSE)</f>
        <v>Spring</v>
      </c>
      <c r="R202" t="str">
        <f>TEXT(DATE(2026,E202,1),"mmmm")</f>
        <v>January</v>
      </c>
      <c r="S202" t="str">
        <f>IF(OR(H202=0,H202=6),"Weekend","Weekday")</f>
        <v>Weekend</v>
      </c>
      <c r="T202" s="1" t="str">
        <f>VLOOKUP(I202,[1]Lookup!$D$2:$E$5,2,FALSE)</f>
        <v>Clear</v>
      </c>
      <c r="U202" s="1" t="str">
        <f>IF(F202&lt;6,"Night",
IF(F202&lt;12,"Morning",
IF(F202&lt;17,"Afternoon",
IF(F202&lt;21,"Evening","Night"))))</f>
        <v>Afternoon</v>
      </c>
      <c r="V202" s="1" t="str">
        <f>IF(J202&lt;0.3,"Cold",
IF(J202&lt;0.6,"Pleasant","Hot"))</f>
        <v>Cold</v>
      </c>
      <c r="W202" s="1" t="str">
        <f>IF(L202&lt;0.4,"Low",
IF(L202&lt;0.7,"Medium","High"))</f>
        <v>Low</v>
      </c>
      <c r="X202" s="1" t="str">
        <f>IF(M202&lt;0.2,"Low",
IF(M202&lt;0.4,"Medium","High"))</f>
        <v>Medium</v>
      </c>
      <c r="Y202" s="1" t="str">
        <f>IF(P202&lt;100,"Low",
IF(P202&lt;300,"Medium","High"))</f>
        <v>Low</v>
      </c>
    </row>
    <row r="203" spans="1:25" x14ac:dyDescent="0.3">
      <c r="A203">
        <v>202</v>
      </c>
      <c r="B203" s="2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 t="str">
        <f>VLOOKUP(MasterData[[#This Row],[season]],[1]Lookup!$A$2:$B$5,2,FALSE)</f>
        <v>Spring</v>
      </c>
      <c r="R203" t="str">
        <f>TEXT(DATE(2026,E203,1),"mmmm")</f>
        <v>January</v>
      </c>
      <c r="S203" t="str">
        <f>IF(OR(H203=0,H203=6),"Weekend","Weekday")</f>
        <v>Weekend</v>
      </c>
      <c r="T203" s="1" t="str">
        <f>VLOOKUP(I203,[1]Lookup!$D$2:$E$5,2,FALSE)</f>
        <v>Clear</v>
      </c>
      <c r="U203" s="1" t="str">
        <f>IF(F203&lt;6,"Night",
IF(F203&lt;12,"Morning",
IF(F203&lt;17,"Afternoon",
IF(F203&lt;21,"Evening","Night"))))</f>
        <v>Afternoon</v>
      </c>
      <c r="V203" s="1" t="str">
        <f>IF(J203&lt;0.3,"Cold",
IF(J203&lt;0.6,"Pleasant","Hot"))</f>
        <v>Cold</v>
      </c>
      <c r="W203" s="1" t="str">
        <f>IF(L203&lt;0.4,"Low",
IF(L203&lt;0.7,"Medium","High"))</f>
        <v>Low</v>
      </c>
      <c r="X203" s="1" t="str">
        <f>IF(M203&lt;0.2,"Low",
IF(M203&lt;0.4,"Medium","High"))</f>
        <v>High</v>
      </c>
      <c r="Y203" s="1" t="str">
        <f>IF(P203&lt;100,"Low",
IF(P203&lt;300,"Medium","High"))</f>
        <v>Low</v>
      </c>
    </row>
    <row r="204" spans="1:25" x14ac:dyDescent="0.3">
      <c r="A204">
        <v>203</v>
      </c>
      <c r="B204" s="2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  <c r="Q204" t="str">
        <f>VLOOKUP(MasterData[[#This Row],[season]],[1]Lookup!$A$2:$B$5,2,FALSE)</f>
        <v>Spring</v>
      </c>
      <c r="R204" t="str">
        <f>TEXT(DATE(2026,E204,1),"mmmm")</f>
        <v>January</v>
      </c>
      <c r="S204" t="str">
        <f>IF(OR(H204=0,H204=6),"Weekend","Weekday")</f>
        <v>Weekend</v>
      </c>
      <c r="T204" s="1" t="str">
        <f>VLOOKUP(I204,[1]Lookup!$D$2:$E$5,2,FALSE)</f>
        <v>Clear</v>
      </c>
      <c r="U204" s="1" t="str">
        <f>IF(F204&lt;6,"Night",
IF(F204&lt;12,"Morning",
IF(F204&lt;17,"Afternoon",
IF(F204&lt;21,"Evening","Night"))))</f>
        <v>Evening</v>
      </c>
      <c r="V204" s="1" t="str">
        <f>IF(J204&lt;0.3,"Cold",
IF(J204&lt;0.6,"Pleasant","Hot"))</f>
        <v>Cold</v>
      </c>
      <c r="W204" s="1" t="str">
        <f>IF(L204&lt;0.4,"Low",
IF(L204&lt;0.7,"Medium","High"))</f>
        <v>Low</v>
      </c>
      <c r="X204" s="1" t="str">
        <f>IF(M204&lt;0.2,"Low",
IF(M204&lt;0.4,"Medium","High"))</f>
        <v>Medium</v>
      </c>
      <c r="Y204" s="1" t="str">
        <f>IF(P204&lt;100,"Low",
IF(P204&lt;300,"Medium","High"))</f>
        <v>Low</v>
      </c>
    </row>
    <row r="205" spans="1:25" x14ac:dyDescent="0.3">
      <c r="A205">
        <v>204</v>
      </c>
      <c r="B205" s="2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 t="str">
        <f>VLOOKUP(MasterData[[#This Row],[season]],[1]Lookup!$A$2:$B$5,2,FALSE)</f>
        <v>Spring</v>
      </c>
      <c r="R205" t="str">
        <f>TEXT(DATE(2026,E205,1),"mmmm")</f>
        <v>January</v>
      </c>
      <c r="S205" t="str">
        <f>IF(OR(H205=0,H205=6),"Weekend","Weekday")</f>
        <v>Weekend</v>
      </c>
      <c r="T205" s="1" t="str">
        <f>VLOOKUP(I205,[1]Lookup!$D$2:$E$5,2,FALSE)</f>
        <v>Clear</v>
      </c>
      <c r="U205" s="1" t="str">
        <f>IF(F205&lt;6,"Night",
IF(F205&lt;12,"Morning",
IF(F205&lt;17,"Afternoon",
IF(F205&lt;21,"Evening","Night"))))</f>
        <v>Evening</v>
      </c>
      <c r="V205" s="1" t="str">
        <f>IF(J205&lt;0.3,"Cold",
IF(J205&lt;0.6,"Pleasant","Hot"))</f>
        <v>Cold</v>
      </c>
      <c r="W205" s="1" t="str">
        <f>IF(L205&lt;0.4,"Low",
IF(L205&lt;0.7,"Medium","High"))</f>
        <v>Medium</v>
      </c>
      <c r="X205" s="1" t="str">
        <f>IF(M205&lt;0.2,"Low",
IF(M205&lt;0.4,"Medium","High"))</f>
        <v>Medium</v>
      </c>
      <c r="Y205" s="1" t="str">
        <f>IF(P205&lt;100,"Low",
IF(P205&lt;300,"Medium","High"))</f>
        <v>Low</v>
      </c>
    </row>
    <row r="206" spans="1:25" x14ac:dyDescent="0.3">
      <c r="A206">
        <v>205</v>
      </c>
      <c r="B206" s="2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 t="str">
        <f>VLOOKUP(MasterData[[#This Row],[season]],[1]Lookup!$A$2:$B$5,2,FALSE)</f>
        <v>Spring</v>
      </c>
      <c r="R206" t="str">
        <f>TEXT(DATE(2026,E206,1),"mmmm")</f>
        <v>January</v>
      </c>
      <c r="S206" t="str">
        <f>IF(OR(H206=0,H206=6),"Weekend","Weekday")</f>
        <v>Weekend</v>
      </c>
      <c r="T206" s="1" t="str">
        <f>VLOOKUP(I206,[1]Lookup!$D$2:$E$5,2,FALSE)</f>
        <v>Clear</v>
      </c>
      <c r="U206" s="1" t="str">
        <f>IF(F206&lt;6,"Night",
IF(F206&lt;12,"Morning",
IF(F206&lt;17,"Afternoon",
IF(F206&lt;21,"Evening","Night"))))</f>
        <v>Evening</v>
      </c>
      <c r="V206" s="1" t="str">
        <f>IF(J206&lt;0.3,"Cold",
IF(J206&lt;0.6,"Pleasant","Hot"))</f>
        <v>Cold</v>
      </c>
      <c r="W206" s="1" t="str">
        <f>IF(L206&lt;0.4,"Low",
IF(L206&lt;0.7,"Medium","High"))</f>
        <v>Medium</v>
      </c>
      <c r="X206" s="1" t="str">
        <f>IF(M206&lt;0.2,"Low",
IF(M206&lt;0.4,"Medium","High"))</f>
        <v>Medium</v>
      </c>
      <c r="Y206" s="1" t="str">
        <f>IF(P206&lt;100,"Low",
IF(P206&lt;300,"Medium","High"))</f>
        <v>Low</v>
      </c>
    </row>
    <row r="207" spans="1:25" x14ac:dyDescent="0.3">
      <c r="A207">
        <v>206</v>
      </c>
      <c r="B207" s="2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 t="str">
        <f>VLOOKUP(MasterData[[#This Row],[season]],[1]Lookup!$A$2:$B$5,2,FALSE)</f>
        <v>Spring</v>
      </c>
      <c r="R207" t="str">
        <f>TEXT(DATE(2026,E207,1),"mmmm")</f>
        <v>January</v>
      </c>
      <c r="S207" t="str">
        <f>IF(OR(H207=0,H207=6),"Weekend","Weekday")</f>
        <v>Weekend</v>
      </c>
      <c r="T207" s="1" t="str">
        <f>VLOOKUP(I207,[1]Lookup!$D$2:$E$5,2,FALSE)</f>
        <v>Clear</v>
      </c>
      <c r="U207" s="1" t="str">
        <f>IF(F207&lt;6,"Night",
IF(F207&lt;12,"Morning",
IF(F207&lt;17,"Afternoon",
IF(F207&lt;21,"Evening","Night"))))</f>
        <v>Evening</v>
      </c>
      <c r="V207" s="1" t="str">
        <f>IF(J207&lt;0.3,"Cold",
IF(J207&lt;0.6,"Pleasant","Hot"))</f>
        <v>Cold</v>
      </c>
      <c r="W207" s="1" t="str">
        <f>IF(L207&lt;0.4,"Low",
IF(L207&lt;0.7,"Medium","High"))</f>
        <v>Medium</v>
      </c>
      <c r="X207" s="1" t="str">
        <f>IF(M207&lt;0.2,"Low",
IF(M207&lt;0.4,"Medium","High"))</f>
        <v>Medium</v>
      </c>
      <c r="Y207" s="1" t="str">
        <f>IF(P207&lt;100,"Low",
IF(P207&lt;300,"Medium","High"))</f>
        <v>Low</v>
      </c>
    </row>
    <row r="208" spans="1:25" x14ac:dyDescent="0.3">
      <c r="A208">
        <v>207</v>
      </c>
      <c r="B208" s="2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 t="str">
        <f>VLOOKUP(MasterData[[#This Row],[season]],[1]Lookup!$A$2:$B$5,2,FALSE)</f>
        <v>Spring</v>
      </c>
      <c r="R208" t="str">
        <f>TEXT(DATE(2026,E208,1),"mmmm")</f>
        <v>January</v>
      </c>
      <c r="S208" t="str">
        <f>IF(OR(H208=0,H208=6),"Weekend","Weekday")</f>
        <v>Weekend</v>
      </c>
      <c r="T208" s="1" t="str">
        <f>VLOOKUP(I208,[1]Lookup!$D$2:$E$5,2,FALSE)</f>
        <v>Clear</v>
      </c>
      <c r="U208" s="1" t="str">
        <f>IF(F208&lt;6,"Night",
IF(F208&lt;12,"Morning",
IF(F208&lt;17,"Afternoon",
IF(F208&lt;21,"Evening","Night"))))</f>
        <v>Night</v>
      </c>
      <c r="V208" s="1" t="str">
        <f>IF(J208&lt;0.3,"Cold",
IF(J208&lt;0.6,"Pleasant","Hot"))</f>
        <v>Cold</v>
      </c>
      <c r="W208" s="1" t="str">
        <f>IF(L208&lt;0.4,"Low",
IF(L208&lt;0.7,"Medium","High"))</f>
        <v>Medium</v>
      </c>
      <c r="X208" s="1" t="str">
        <f>IF(M208&lt;0.2,"Low",
IF(M208&lt;0.4,"Medium","High"))</f>
        <v>High</v>
      </c>
      <c r="Y208" s="1" t="str">
        <f>IF(P208&lt;100,"Low",
IF(P208&lt;300,"Medium","High"))</f>
        <v>Low</v>
      </c>
    </row>
    <row r="209" spans="1:25" x14ac:dyDescent="0.3">
      <c r="A209">
        <v>208</v>
      </c>
      <c r="B209" s="2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 t="str">
        <f>VLOOKUP(MasterData[[#This Row],[season]],[1]Lookup!$A$2:$B$5,2,FALSE)</f>
        <v>Spring</v>
      </c>
      <c r="R209" t="str">
        <f>TEXT(DATE(2026,E209,1),"mmmm")</f>
        <v>January</v>
      </c>
      <c r="S209" t="str">
        <f>IF(OR(H209=0,H209=6),"Weekend","Weekday")</f>
        <v>Weekend</v>
      </c>
      <c r="T209" s="1" t="str">
        <f>VLOOKUP(I209,[1]Lookup!$D$2:$E$5,2,FALSE)</f>
        <v>Clear</v>
      </c>
      <c r="U209" s="1" t="str">
        <f>IF(F209&lt;6,"Night",
IF(F209&lt;12,"Morning",
IF(F209&lt;17,"Afternoon",
IF(F209&lt;21,"Evening","Night"))))</f>
        <v>Night</v>
      </c>
      <c r="V209" s="1" t="str">
        <f>IF(J209&lt;0.3,"Cold",
IF(J209&lt;0.6,"Pleasant","Hot"))</f>
        <v>Cold</v>
      </c>
      <c r="W209" s="1" t="str">
        <f>IF(L209&lt;0.4,"Low",
IF(L209&lt;0.7,"Medium","High"))</f>
        <v>Medium</v>
      </c>
      <c r="X209" s="1" t="str">
        <f>IF(M209&lt;0.2,"Low",
IF(M209&lt;0.4,"Medium","High"))</f>
        <v>Medium</v>
      </c>
      <c r="Y209" s="1" t="str">
        <f>IF(P209&lt;100,"Low",
IF(P209&lt;300,"Medium","High"))</f>
        <v>Low</v>
      </c>
    </row>
    <row r="210" spans="1:25" x14ac:dyDescent="0.3">
      <c r="A210">
        <v>209</v>
      </c>
      <c r="B210" s="2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 t="str">
        <f>VLOOKUP(MasterData[[#This Row],[season]],[1]Lookup!$A$2:$B$5,2,FALSE)</f>
        <v>Spring</v>
      </c>
      <c r="R210" t="str">
        <f>TEXT(DATE(2026,E210,1),"mmmm")</f>
        <v>January</v>
      </c>
      <c r="S210" t="str">
        <f>IF(OR(H210=0,H210=6),"Weekend","Weekday")</f>
        <v>Weekend</v>
      </c>
      <c r="T210" s="1" t="str">
        <f>VLOOKUP(I210,[1]Lookup!$D$2:$E$5,2,FALSE)</f>
        <v>Clear</v>
      </c>
      <c r="U210" s="1" t="str">
        <f>IF(F210&lt;6,"Night",
IF(F210&lt;12,"Morning",
IF(F210&lt;17,"Afternoon",
IF(F210&lt;21,"Evening","Night"))))</f>
        <v>Night</v>
      </c>
      <c r="V210" s="1" t="str">
        <f>IF(J210&lt;0.3,"Cold",
IF(J210&lt;0.6,"Pleasant","Hot"))</f>
        <v>Cold</v>
      </c>
      <c r="W210" s="1" t="str">
        <f>IF(L210&lt;0.4,"Low",
IF(L210&lt;0.7,"Medium","High"))</f>
        <v>Medium</v>
      </c>
      <c r="X210" s="1" t="str">
        <f>IF(M210&lt;0.2,"Low",
IF(M210&lt;0.4,"Medium","High"))</f>
        <v>Low</v>
      </c>
      <c r="Y210" s="1" t="str">
        <f>IF(P210&lt;100,"Low",
IF(P210&lt;300,"Medium","High"))</f>
        <v>Low</v>
      </c>
    </row>
    <row r="211" spans="1:25" x14ac:dyDescent="0.3">
      <c r="A211">
        <v>210</v>
      </c>
      <c r="B211" s="2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 t="str">
        <f>VLOOKUP(MasterData[[#This Row],[season]],[1]Lookup!$A$2:$B$5,2,FALSE)</f>
        <v>Spring</v>
      </c>
      <c r="R211" t="str">
        <f>TEXT(DATE(2026,E211,1),"mmmm")</f>
        <v>January</v>
      </c>
      <c r="S211" t="str">
        <f>IF(OR(H211=0,H211=6),"Weekend","Weekday")</f>
        <v>Weekday</v>
      </c>
      <c r="T211" s="1" t="str">
        <f>VLOOKUP(I211,[1]Lookup!$D$2:$E$5,2,FALSE)</f>
        <v>Clear</v>
      </c>
      <c r="U211" s="1" t="str">
        <f>IF(F211&lt;6,"Night",
IF(F211&lt;12,"Morning",
IF(F211&lt;17,"Afternoon",
IF(F211&lt;21,"Evening","Night"))))</f>
        <v>Night</v>
      </c>
      <c r="V211" s="1" t="str">
        <f>IF(J211&lt;0.3,"Cold",
IF(J211&lt;0.6,"Pleasant","Hot"))</f>
        <v>Cold</v>
      </c>
      <c r="W211" s="1" t="str">
        <f>IF(L211&lt;0.4,"Low",
IF(L211&lt;0.7,"Medium","High"))</f>
        <v>Medium</v>
      </c>
      <c r="X211" s="1" t="str">
        <f>IF(M211&lt;0.2,"Low",
IF(M211&lt;0.4,"Medium","High"))</f>
        <v>Medium</v>
      </c>
      <c r="Y211" s="1" t="str">
        <f>IF(P211&lt;100,"Low",
IF(P211&lt;300,"Medium","High"))</f>
        <v>Low</v>
      </c>
    </row>
    <row r="212" spans="1:25" x14ac:dyDescent="0.3">
      <c r="A212">
        <v>211</v>
      </c>
      <c r="B212" s="2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 t="str">
        <f>VLOOKUP(MasterData[[#This Row],[season]],[1]Lookup!$A$2:$B$5,2,FALSE)</f>
        <v>Spring</v>
      </c>
      <c r="R212" t="str">
        <f>TEXT(DATE(2026,E212,1),"mmmm")</f>
        <v>January</v>
      </c>
      <c r="S212" t="str">
        <f>IF(OR(H212=0,H212=6),"Weekend","Weekday")</f>
        <v>Weekday</v>
      </c>
      <c r="T212" s="1" t="str">
        <f>VLOOKUP(I212,[1]Lookup!$D$2:$E$5,2,FALSE)</f>
        <v>Clear</v>
      </c>
      <c r="U212" s="1" t="str">
        <f>IF(F212&lt;6,"Night",
IF(F212&lt;12,"Morning",
IF(F212&lt;17,"Afternoon",
IF(F212&lt;21,"Evening","Night"))))</f>
        <v>Night</v>
      </c>
      <c r="V212" s="1" t="str">
        <f>IF(J212&lt;0.3,"Cold",
IF(J212&lt;0.6,"Pleasant","Hot"))</f>
        <v>Cold</v>
      </c>
      <c r="W212" s="1" t="str">
        <f>IF(L212&lt;0.4,"Low",
IF(L212&lt;0.7,"Medium","High"))</f>
        <v>Medium</v>
      </c>
      <c r="X212" s="1" t="str">
        <f>IF(M212&lt;0.2,"Low",
IF(M212&lt;0.4,"Medium","High"))</f>
        <v>Medium</v>
      </c>
      <c r="Y212" s="1" t="str">
        <f>IF(P212&lt;100,"Low",
IF(P212&lt;300,"Medium","High"))</f>
        <v>Low</v>
      </c>
    </row>
    <row r="213" spans="1:25" x14ac:dyDescent="0.3">
      <c r="A213">
        <v>212</v>
      </c>
      <c r="B213" s="2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 t="str">
        <f>VLOOKUP(MasterData[[#This Row],[season]],[1]Lookup!$A$2:$B$5,2,FALSE)</f>
        <v>Spring</v>
      </c>
      <c r="R213" t="str">
        <f>TEXT(DATE(2026,E213,1),"mmmm")</f>
        <v>January</v>
      </c>
      <c r="S213" t="str">
        <f>IF(OR(H213=0,H213=6),"Weekend","Weekday")</f>
        <v>Weekday</v>
      </c>
      <c r="T213" s="1" t="str">
        <f>VLOOKUP(I213,[1]Lookup!$D$2:$E$5,2,FALSE)</f>
        <v>Clear</v>
      </c>
      <c r="U213" s="1" t="str">
        <f>IF(F213&lt;6,"Night",
IF(F213&lt;12,"Morning",
IF(F213&lt;17,"Afternoon",
IF(F213&lt;21,"Evening","Night"))))</f>
        <v>Night</v>
      </c>
      <c r="V213" s="1" t="str">
        <f>IF(J213&lt;0.3,"Cold",
IF(J213&lt;0.6,"Pleasant","Hot"))</f>
        <v>Cold</v>
      </c>
      <c r="W213" s="1" t="str">
        <f>IF(L213&lt;0.4,"Low",
IF(L213&lt;0.7,"Medium","High"))</f>
        <v>Medium</v>
      </c>
      <c r="X213" s="1" t="str">
        <f>IF(M213&lt;0.2,"Low",
IF(M213&lt;0.4,"Medium","High"))</f>
        <v>Medium</v>
      </c>
      <c r="Y213" s="1" t="str">
        <f>IF(P213&lt;100,"Low",
IF(P213&lt;300,"Medium","High"))</f>
        <v>Low</v>
      </c>
    </row>
    <row r="214" spans="1:25" x14ac:dyDescent="0.3">
      <c r="A214">
        <v>213</v>
      </c>
      <c r="B214" s="2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 t="str">
        <f>VLOOKUP(MasterData[[#This Row],[season]],[1]Lookup!$A$2:$B$5,2,FALSE)</f>
        <v>Spring</v>
      </c>
      <c r="R214" t="str">
        <f>TEXT(DATE(2026,E214,1),"mmmm")</f>
        <v>January</v>
      </c>
      <c r="S214" t="str">
        <f>IF(OR(H214=0,H214=6),"Weekend","Weekday")</f>
        <v>Weekday</v>
      </c>
      <c r="T214" s="1" t="str">
        <f>VLOOKUP(I214,[1]Lookup!$D$2:$E$5,2,FALSE)</f>
        <v>Clear</v>
      </c>
      <c r="U214" s="1" t="str">
        <f>IF(F214&lt;6,"Night",
IF(F214&lt;12,"Morning",
IF(F214&lt;17,"Afternoon",
IF(F214&lt;21,"Evening","Night"))))</f>
        <v>Night</v>
      </c>
      <c r="V214" s="1" t="str">
        <f>IF(J214&lt;0.3,"Cold",
IF(J214&lt;0.6,"Pleasant","Hot"))</f>
        <v>Cold</v>
      </c>
      <c r="W214" s="1" t="str">
        <f>IF(L214&lt;0.4,"Low",
IF(L214&lt;0.7,"Medium","High"))</f>
        <v>Medium</v>
      </c>
      <c r="X214" s="1" t="str">
        <f>IF(M214&lt;0.2,"Low",
IF(M214&lt;0.4,"Medium","High"))</f>
        <v>Medium</v>
      </c>
      <c r="Y214" s="1" t="str">
        <f>IF(P214&lt;100,"Low",
IF(P214&lt;300,"Medium","High"))</f>
        <v>Low</v>
      </c>
    </row>
    <row r="215" spans="1:25" x14ac:dyDescent="0.3">
      <c r="A215">
        <v>214</v>
      </c>
      <c r="B215" s="2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  <c r="Q215" t="str">
        <f>VLOOKUP(MasterData[[#This Row],[season]],[1]Lookup!$A$2:$B$5,2,FALSE)</f>
        <v>Spring</v>
      </c>
      <c r="R215" t="str">
        <f>TEXT(DATE(2026,E215,1),"mmmm")</f>
        <v>January</v>
      </c>
      <c r="S215" t="str">
        <f>IF(OR(H215=0,H215=6),"Weekend","Weekday")</f>
        <v>Weekday</v>
      </c>
      <c r="T215" s="1" t="str">
        <f>VLOOKUP(I215,[1]Lookup!$D$2:$E$5,2,FALSE)</f>
        <v>Clear</v>
      </c>
      <c r="U215" s="1" t="str">
        <f>IF(F215&lt;6,"Night",
IF(F215&lt;12,"Morning",
IF(F215&lt;17,"Afternoon",
IF(F215&lt;21,"Evening","Night"))))</f>
        <v>Night</v>
      </c>
      <c r="V215" s="1" t="str">
        <f>IF(J215&lt;0.3,"Cold",
IF(J215&lt;0.6,"Pleasant","Hot"))</f>
        <v>Cold</v>
      </c>
      <c r="W215" s="1" t="str">
        <f>IF(L215&lt;0.4,"Low",
IF(L215&lt;0.7,"Medium","High"))</f>
        <v>Medium</v>
      </c>
      <c r="X215" s="1" t="str">
        <f>IF(M215&lt;0.2,"Low",
IF(M215&lt;0.4,"Medium","High"))</f>
        <v>Low</v>
      </c>
      <c r="Y215" s="1" t="str">
        <f>IF(P215&lt;100,"Low",
IF(P215&lt;300,"Medium","High"))</f>
        <v>Low</v>
      </c>
    </row>
    <row r="216" spans="1:25" x14ac:dyDescent="0.3">
      <c r="A216">
        <v>215</v>
      </c>
      <c r="B216" s="2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 t="str">
        <f>VLOOKUP(MasterData[[#This Row],[season]],[1]Lookup!$A$2:$B$5,2,FALSE)</f>
        <v>Spring</v>
      </c>
      <c r="R216" t="str">
        <f>TEXT(DATE(2026,E216,1),"mmmm")</f>
        <v>January</v>
      </c>
      <c r="S216" t="str">
        <f>IF(OR(H216=0,H216=6),"Weekend","Weekday")</f>
        <v>Weekday</v>
      </c>
      <c r="T216" s="1" t="str">
        <f>VLOOKUP(I216,[1]Lookup!$D$2:$E$5,2,FALSE)</f>
        <v>Clear</v>
      </c>
      <c r="U216" s="1" t="str">
        <f>IF(F216&lt;6,"Night",
IF(F216&lt;12,"Morning",
IF(F216&lt;17,"Afternoon",
IF(F216&lt;21,"Evening","Night"))))</f>
        <v>Night</v>
      </c>
      <c r="V216" s="1" t="str">
        <f>IF(J216&lt;0.3,"Cold",
IF(J216&lt;0.6,"Pleasant","Hot"))</f>
        <v>Cold</v>
      </c>
      <c r="W216" s="1" t="str">
        <f>IF(L216&lt;0.4,"Low",
IF(L216&lt;0.7,"Medium","High"))</f>
        <v>Medium</v>
      </c>
      <c r="X216" s="1" t="str">
        <f>IF(M216&lt;0.2,"Low",
IF(M216&lt;0.4,"Medium","High"))</f>
        <v>Medium</v>
      </c>
      <c r="Y216" s="1" t="str">
        <f>IF(P216&lt;100,"Low",
IF(P216&lt;300,"Medium","High"))</f>
        <v>Low</v>
      </c>
    </row>
    <row r="217" spans="1:25" x14ac:dyDescent="0.3">
      <c r="A217">
        <v>216</v>
      </c>
      <c r="B217" s="2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 t="str">
        <f>VLOOKUP(MasterData[[#This Row],[season]],[1]Lookup!$A$2:$B$5,2,FALSE)</f>
        <v>Spring</v>
      </c>
      <c r="R217" t="str">
        <f>TEXT(DATE(2026,E217,1),"mmmm")</f>
        <v>January</v>
      </c>
      <c r="S217" t="str">
        <f>IF(OR(H217=0,H217=6),"Weekend","Weekday")</f>
        <v>Weekday</v>
      </c>
      <c r="T217" s="1" t="str">
        <f>VLOOKUP(I217,[1]Lookup!$D$2:$E$5,2,FALSE)</f>
        <v>Clear</v>
      </c>
      <c r="U217" s="1" t="str">
        <f>IF(F217&lt;6,"Night",
IF(F217&lt;12,"Morning",
IF(F217&lt;17,"Afternoon",
IF(F217&lt;21,"Evening","Night"))))</f>
        <v>Morning</v>
      </c>
      <c r="V217" s="1" t="str">
        <f>IF(J217&lt;0.3,"Cold",
IF(J217&lt;0.6,"Pleasant","Hot"))</f>
        <v>Cold</v>
      </c>
      <c r="W217" s="1" t="str">
        <f>IF(L217&lt;0.4,"Low",
IF(L217&lt;0.7,"Medium","High"))</f>
        <v>Medium</v>
      </c>
      <c r="X217" s="1" t="str">
        <f>IF(M217&lt;0.2,"Low",
IF(M217&lt;0.4,"Medium","High"))</f>
        <v>Medium</v>
      </c>
      <c r="Y217" s="1" t="str">
        <f>IF(P217&lt;100,"Low",
IF(P217&lt;300,"Medium","High"))</f>
        <v>Low</v>
      </c>
    </row>
    <row r="218" spans="1:25" x14ac:dyDescent="0.3">
      <c r="A218">
        <v>217</v>
      </c>
      <c r="B218" s="2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 t="str">
        <f>VLOOKUP(MasterData[[#This Row],[season]],[1]Lookup!$A$2:$B$5,2,FALSE)</f>
        <v>Spring</v>
      </c>
      <c r="R218" t="str">
        <f>TEXT(DATE(2026,E218,1),"mmmm")</f>
        <v>January</v>
      </c>
      <c r="S218" t="str">
        <f>IF(OR(H218=0,H218=6),"Weekend","Weekday")</f>
        <v>Weekday</v>
      </c>
      <c r="T218" s="1" t="str">
        <f>VLOOKUP(I218,[1]Lookup!$D$2:$E$5,2,FALSE)</f>
        <v>Clear</v>
      </c>
      <c r="U218" s="1" t="str">
        <f>IF(F218&lt;6,"Night",
IF(F218&lt;12,"Morning",
IF(F218&lt;17,"Afternoon",
IF(F218&lt;21,"Evening","Night"))))</f>
        <v>Morning</v>
      </c>
      <c r="V218" s="1" t="str">
        <f>IF(J218&lt;0.3,"Cold",
IF(J218&lt;0.6,"Pleasant","Hot"))</f>
        <v>Cold</v>
      </c>
      <c r="W218" s="1" t="str">
        <f>IF(L218&lt;0.4,"Low",
IF(L218&lt;0.7,"Medium","High"))</f>
        <v>Medium</v>
      </c>
      <c r="X218" s="1" t="str">
        <f>IF(M218&lt;0.2,"Low",
IF(M218&lt;0.4,"Medium","High"))</f>
        <v>Medium</v>
      </c>
      <c r="Y218" s="1" t="str">
        <f>IF(P218&lt;100,"Low",
IF(P218&lt;300,"Medium","High"))</f>
        <v>Low</v>
      </c>
    </row>
    <row r="219" spans="1:25" x14ac:dyDescent="0.3">
      <c r="A219">
        <v>218</v>
      </c>
      <c r="B219" s="2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 t="str">
        <f>VLOOKUP(MasterData[[#This Row],[season]],[1]Lookup!$A$2:$B$5,2,FALSE)</f>
        <v>Spring</v>
      </c>
      <c r="R219" t="str">
        <f>TEXT(DATE(2026,E219,1),"mmmm")</f>
        <v>January</v>
      </c>
      <c r="S219" t="str">
        <f>IF(OR(H219=0,H219=6),"Weekend","Weekday")</f>
        <v>Weekday</v>
      </c>
      <c r="T219" s="1" t="str">
        <f>VLOOKUP(I219,[1]Lookup!$D$2:$E$5,2,FALSE)</f>
        <v>Mist / Cloudy</v>
      </c>
      <c r="U219" s="1" t="str">
        <f>IF(F219&lt;6,"Night",
IF(F219&lt;12,"Morning",
IF(F219&lt;17,"Afternoon",
IF(F219&lt;21,"Evening","Night"))))</f>
        <v>Morning</v>
      </c>
      <c r="V219" s="1" t="str">
        <f>IF(J219&lt;0.3,"Cold",
IF(J219&lt;0.6,"Pleasant","Hot"))</f>
        <v>Cold</v>
      </c>
      <c r="W219" s="1" t="str">
        <f>IF(L219&lt;0.4,"Low",
IF(L219&lt;0.7,"Medium","High"))</f>
        <v>Medium</v>
      </c>
      <c r="X219" s="1" t="str">
        <f>IF(M219&lt;0.2,"Low",
IF(M219&lt;0.4,"Medium","High"))</f>
        <v>Medium</v>
      </c>
      <c r="Y219" s="1" t="str">
        <f>IF(P219&lt;100,"Low",
IF(P219&lt;300,"Medium","High"))</f>
        <v>Medium</v>
      </c>
    </row>
    <row r="220" spans="1:25" x14ac:dyDescent="0.3">
      <c r="A220">
        <v>219</v>
      </c>
      <c r="B220" s="2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 t="str">
        <f>VLOOKUP(MasterData[[#This Row],[season]],[1]Lookup!$A$2:$B$5,2,FALSE)</f>
        <v>Spring</v>
      </c>
      <c r="R220" t="str">
        <f>TEXT(DATE(2026,E220,1),"mmmm")</f>
        <v>January</v>
      </c>
      <c r="S220" t="str">
        <f>IF(OR(H220=0,H220=6),"Weekend","Weekday")</f>
        <v>Weekday</v>
      </c>
      <c r="T220" s="1" t="str">
        <f>VLOOKUP(I220,[1]Lookup!$D$2:$E$5,2,FALSE)</f>
        <v>Mist / Cloudy</v>
      </c>
      <c r="U220" s="1" t="str">
        <f>IF(F220&lt;6,"Night",
IF(F220&lt;12,"Morning",
IF(F220&lt;17,"Afternoon",
IF(F220&lt;21,"Evening","Night"))))</f>
        <v>Morning</v>
      </c>
      <c r="V220" s="1" t="str">
        <f>IF(J220&lt;0.3,"Cold",
IF(J220&lt;0.6,"Pleasant","Hot"))</f>
        <v>Cold</v>
      </c>
      <c r="W220" s="1" t="str">
        <f>IF(L220&lt;0.4,"Low",
IF(L220&lt;0.7,"Medium","High"))</f>
        <v>Medium</v>
      </c>
      <c r="X220" s="1" t="str">
        <f>IF(M220&lt;0.2,"Low",
IF(M220&lt;0.4,"Medium","High"))</f>
        <v>Medium</v>
      </c>
      <c r="Y220" s="1" t="str">
        <f>IF(P220&lt;100,"Low",
IF(P220&lt;300,"Medium","High"))</f>
        <v>Low</v>
      </c>
    </row>
    <row r="221" spans="1:25" x14ac:dyDescent="0.3">
      <c r="A221">
        <v>220</v>
      </c>
      <c r="B221" s="2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 t="str">
        <f>VLOOKUP(MasterData[[#This Row],[season]],[1]Lookup!$A$2:$B$5,2,FALSE)</f>
        <v>Spring</v>
      </c>
      <c r="R221" t="str">
        <f>TEXT(DATE(2026,E221,1),"mmmm")</f>
        <v>January</v>
      </c>
      <c r="S221" t="str">
        <f>IF(OR(H221=0,H221=6),"Weekend","Weekday")</f>
        <v>Weekday</v>
      </c>
      <c r="T221" s="1" t="str">
        <f>VLOOKUP(I221,[1]Lookup!$D$2:$E$5,2,FALSE)</f>
        <v>Mist / Cloudy</v>
      </c>
      <c r="U221" s="1" t="str">
        <f>IF(F221&lt;6,"Night",
IF(F221&lt;12,"Morning",
IF(F221&lt;17,"Afternoon",
IF(F221&lt;21,"Evening","Night"))))</f>
        <v>Morning</v>
      </c>
      <c r="V221" s="1" t="str">
        <f>IF(J221&lt;0.3,"Cold",
IF(J221&lt;0.6,"Pleasant","Hot"))</f>
        <v>Cold</v>
      </c>
      <c r="W221" s="1" t="str">
        <f>IF(L221&lt;0.4,"Low",
IF(L221&lt;0.7,"Medium","High"))</f>
        <v>Medium</v>
      </c>
      <c r="X221" s="1" t="str">
        <f>IF(M221&lt;0.2,"Low",
IF(M221&lt;0.4,"Medium","High"))</f>
        <v>Medium</v>
      </c>
      <c r="Y221" s="1" t="str">
        <f>IF(P221&lt;100,"Low",
IF(P221&lt;300,"Medium","High"))</f>
        <v>Low</v>
      </c>
    </row>
    <row r="222" spans="1:25" x14ac:dyDescent="0.3">
      <c r="A222">
        <v>221</v>
      </c>
      <c r="B222" s="2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 t="str">
        <f>VLOOKUP(MasterData[[#This Row],[season]],[1]Lookup!$A$2:$B$5,2,FALSE)</f>
        <v>Spring</v>
      </c>
      <c r="R222" t="str">
        <f>TEXT(DATE(2026,E222,1),"mmmm")</f>
        <v>January</v>
      </c>
      <c r="S222" t="str">
        <f>IF(OR(H222=0,H222=6),"Weekend","Weekday")</f>
        <v>Weekday</v>
      </c>
      <c r="T222" s="1" t="str">
        <f>VLOOKUP(I222,[1]Lookup!$D$2:$E$5,2,FALSE)</f>
        <v>Mist / Cloudy</v>
      </c>
      <c r="U222" s="1" t="str">
        <f>IF(F222&lt;6,"Night",
IF(F222&lt;12,"Morning",
IF(F222&lt;17,"Afternoon",
IF(F222&lt;21,"Evening","Night"))))</f>
        <v>Morning</v>
      </c>
      <c r="V222" s="1" t="str">
        <f>IF(J222&lt;0.3,"Cold",
IF(J222&lt;0.6,"Pleasant","Hot"))</f>
        <v>Cold</v>
      </c>
      <c r="W222" s="1" t="str">
        <f>IF(L222&lt;0.4,"Low",
IF(L222&lt;0.7,"Medium","High"))</f>
        <v>Medium</v>
      </c>
      <c r="X222" s="1" t="str">
        <f>IF(M222&lt;0.2,"Low",
IF(M222&lt;0.4,"Medium","High"))</f>
        <v>Medium</v>
      </c>
      <c r="Y222" s="1" t="str">
        <f>IF(P222&lt;100,"Low",
IF(P222&lt;300,"Medium","High"))</f>
        <v>Low</v>
      </c>
    </row>
    <row r="223" spans="1:25" x14ac:dyDescent="0.3">
      <c r="A223">
        <v>222</v>
      </c>
      <c r="B223" s="2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 t="str">
        <f>VLOOKUP(MasterData[[#This Row],[season]],[1]Lookup!$A$2:$B$5,2,FALSE)</f>
        <v>Spring</v>
      </c>
      <c r="R223" t="str">
        <f>TEXT(DATE(2026,E223,1),"mmmm")</f>
        <v>January</v>
      </c>
      <c r="S223" t="str">
        <f>IF(OR(H223=0,H223=6),"Weekend","Weekday")</f>
        <v>Weekday</v>
      </c>
      <c r="T223" s="1" t="str">
        <f>VLOOKUP(I223,[1]Lookup!$D$2:$E$5,2,FALSE)</f>
        <v>Mist / Cloudy</v>
      </c>
      <c r="U223" s="1" t="str">
        <f>IF(F223&lt;6,"Night",
IF(F223&lt;12,"Morning",
IF(F223&lt;17,"Afternoon",
IF(F223&lt;21,"Evening","Night"))))</f>
        <v>Afternoon</v>
      </c>
      <c r="V223" s="1" t="str">
        <f>IF(J223&lt;0.3,"Cold",
IF(J223&lt;0.6,"Pleasant","Hot"))</f>
        <v>Cold</v>
      </c>
      <c r="W223" s="1" t="str">
        <f>IF(L223&lt;0.4,"Low",
IF(L223&lt;0.7,"Medium","High"))</f>
        <v>Medium</v>
      </c>
      <c r="X223" s="1" t="str">
        <f>IF(M223&lt;0.2,"Low",
IF(M223&lt;0.4,"Medium","High"))</f>
        <v>Medium</v>
      </c>
      <c r="Y223" s="1" t="str">
        <f>IF(P223&lt;100,"Low",
IF(P223&lt;300,"Medium","High"))</f>
        <v>Low</v>
      </c>
    </row>
    <row r="224" spans="1:25" x14ac:dyDescent="0.3">
      <c r="A224">
        <v>223</v>
      </c>
      <c r="B224" s="2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 t="str">
        <f>VLOOKUP(MasterData[[#This Row],[season]],[1]Lookup!$A$2:$B$5,2,FALSE)</f>
        <v>Spring</v>
      </c>
      <c r="R224" t="str">
        <f>TEXT(DATE(2026,E224,1),"mmmm")</f>
        <v>January</v>
      </c>
      <c r="S224" t="str">
        <f>IF(OR(H224=0,H224=6),"Weekend","Weekday")</f>
        <v>Weekday</v>
      </c>
      <c r="T224" s="1" t="str">
        <f>VLOOKUP(I224,[1]Lookup!$D$2:$E$5,2,FALSE)</f>
        <v>Mist / Cloudy</v>
      </c>
      <c r="U224" s="1" t="str">
        <f>IF(F224&lt;6,"Night",
IF(F224&lt;12,"Morning",
IF(F224&lt;17,"Afternoon",
IF(F224&lt;21,"Evening","Night"))))</f>
        <v>Afternoon</v>
      </c>
      <c r="V224" s="1" t="str">
        <f>IF(J224&lt;0.3,"Cold",
IF(J224&lt;0.6,"Pleasant","Hot"))</f>
        <v>Cold</v>
      </c>
      <c r="W224" s="1" t="str">
        <f>IF(L224&lt;0.4,"Low",
IF(L224&lt;0.7,"Medium","High"))</f>
        <v>Medium</v>
      </c>
      <c r="X224" s="1" t="str">
        <f>IF(M224&lt;0.2,"Low",
IF(M224&lt;0.4,"Medium","High"))</f>
        <v>Medium</v>
      </c>
      <c r="Y224" s="1" t="str">
        <f>IF(P224&lt;100,"Low",
IF(P224&lt;300,"Medium","High"))</f>
        <v>Low</v>
      </c>
    </row>
    <row r="225" spans="1:25" x14ac:dyDescent="0.3">
      <c r="A225">
        <v>224</v>
      </c>
      <c r="B225" s="2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 t="str">
        <f>VLOOKUP(MasterData[[#This Row],[season]],[1]Lookup!$A$2:$B$5,2,FALSE)</f>
        <v>Spring</v>
      </c>
      <c r="R225" t="str">
        <f>TEXT(DATE(2026,E225,1),"mmmm")</f>
        <v>January</v>
      </c>
      <c r="S225" t="str">
        <f>IF(OR(H225=0,H225=6),"Weekend","Weekday")</f>
        <v>Weekday</v>
      </c>
      <c r="T225" s="1" t="str">
        <f>VLOOKUP(I225,[1]Lookup!$D$2:$E$5,2,FALSE)</f>
        <v>Mist / Cloudy</v>
      </c>
      <c r="U225" s="1" t="str">
        <f>IF(F225&lt;6,"Night",
IF(F225&lt;12,"Morning",
IF(F225&lt;17,"Afternoon",
IF(F225&lt;21,"Evening","Night"))))</f>
        <v>Afternoon</v>
      </c>
      <c r="V225" s="1" t="str">
        <f>IF(J225&lt;0.3,"Cold",
IF(J225&lt;0.6,"Pleasant","Hot"))</f>
        <v>Cold</v>
      </c>
      <c r="W225" s="1" t="str">
        <f>IF(L225&lt;0.4,"Low",
IF(L225&lt;0.7,"Medium","High"))</f>
        <v>Medium</v>
      </c>
      <c r="X225" s="1" t="str">
        <f>IF(M225&lt;0.2,"Low",
IF(M225&lt;0.4,"Medium","High"))</f>
        <v>Medium</v>
      </c>
      <c r="Y225" s="1" t="str">
        <f>IF(P225&lt;100,"Low",
IF(P225&lt;300,"Medium","High"))</f>
        <v>Low</v>
      </c>
    </row>
    <row r="226" spans="1:25" x14ac:dyDescent="0.3">
      <c r="A226">
        <v>225</v>
      </c>
      <c r="B226" s="2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 t="str">
        <f>VLOOKUP(MasterData[[#This Row],[season]],[1]Lookup!$A$2:$B$5,2,FALSE)</f>
        <v>Spring</v>
      </c>
      <c r="R226" t="str">
        <f>TEXT(DATE(2026,E226,1),"mmmm")</f>
        <v>January</v>
      </c>
      <c r="S226" t="str">
        <f>IF(OR(H226=0,H226=6),"Weekend","Weekday")</f>
        <v>Weekday</v>
      </c>
      <c r="T226" s="1" t="str">
        <f>VLOOKUP(I226,[1]Lookup!$D$2:$E$5,2,FALSE)</f>
        <v>Mist / Cloudy</v>
      </c>
      <c r="U226" s="1" t="str">
        <f>IF(F226&lt;6,"Night",
IF(F226&lt;12,"Morning",
IF(F226&lt;17,"Afternoon",
IF(F226&lt;21,"Evening","Night"))))</f>
        <v>Afternoon</v>
      </c>
      <c r="V226" s="1" t="str">
        <f>IF(J226&lt;0.3,"Cold",
IF(J226&lt;0.6,"Pleasant","Hot"))</f>
        <v>Cold</v>
      </c>
      <c r="W226" s="1" t="str">
        <f>IF(L226&lt;0.4,"Low",
IF(L226&lt;0.7,"Medium","High"))</f>
        <v>Medium</v>
      </c>
      <c r="X226" s="1" t="str">
        <f>IF(M226&lt;0.2,"Low",
IF(M226&lt;0.4,"Medium","High"))</f>
        <v>Medium</v>
      </c>
      <c r="Y226" s="1" t="str">
        <f>IF(P226&lt;100,"Low",
IF(P226&lt;300,"Medium","High"))</f>
        <v>Low</v>
      </c>
    </row>
    <row r="227" spans="1:25" x14ac:dyDescent="0.3">
      <c r="A227">
        <v>226</v>
      </c>
      <c r="B227" s="2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  <c r="Q227" t="str">
        <f>VLOOKUP(MasterData[[#This Row],[season]],[1]Lookup!$A$2:$B$5,2,FALSE)</f>
        <v>Spring</v>
      </c>
      <c r="R227" t="str">
        <f>TEXT(DATE(2026,E227,1),"mmmm")</f>
        <v>January</v>
      </c>
      <c r="S227" t="str">
        <f>IF(OR(H227=0,H227=6),"Weekend","Weekday")</f>
        <v>Weekday</v>
      </c>
      <c r="T227" s="1" t="str">
        <f>VLOOKUP(I227,[1]Lookup!$D$2:$E$5,2,FALSE)</f>
        <v>Clear</v>
      </c>
      <c r="U227" s="1" t="str">
        <f>IF(F227&lt;6,"Night",
IF(F227&lt;12,"Morning",
IF(F227&lt;17,"Afternoon",
IF(F227&lt;21,"Evening","Night"))))</f>
        <v>Afternoon</v>
      </c>
      <c r="V227" s="1" t="str">
        <f>IF(J227&lt;0.3,"Cold",
IF(J227&lt;0.6,"Pleasant","Hot"))</f>
        <v>Cold</v>
      </c>
      <c r="W227" s="1" t="str">
        <f>IF(L227&lt;0.4,"Low",
IF(L227&lt;0.7,"Medium","High"))</f>
        <v>Medium</v>
      </c>
      <c r="X227" s="1" t="str">
        <f>IF(M227&lt;0.2,"Low",
IF(M227&lt;0.4,"Medium","High"))</f>
        <v>Low</v>
      </c>
      <c r="Y227" s="1" t="str">
        <f>IF(P227&lt;100,"Low",
IF(P227&lt;300,"Medium","High"))</f>
        <v>Low</v>
      </c>
    </row>
    <row r="228" spans="1:25" x14ac:dyDescent="0.3">
      <c r="A228">
        <v>227</v>
      </c>
      <c r="B228" s="2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  <c r="Q228" t="str">
        <f>VLOOKUP(MasterData[[#This Row],[season]],[1]Lookup!$A$2:$B$5,2,FALSE)</f>
        <v>Spring</v>
      </c>
      <c r="R228" t="str">
        <f>TEXT(DATE(2026,E228,1),"mmmm")</f>
        <v>January</v>
      </c>
      <c r="S228" t="str">
        <f>IF(OR(H228=0,H228=6),"Weekend","Weekday")</f>
        <v>Weekday</v>
      </c>
      <c r="T228" s="1" t="str">
        <f>VLOOKUP(I228,[1]Lookup!$D$2:$E$5,2,FALSE)</f>
        <v>Clear</v>
      </c>
      <c r="U228" s="1" t="str">
        <f>IF(F228&lt;6,"Night",
IF(F228&lt;12,"Morning",
IF(F228&lt;17,"Afternoon",
IF(F228&lt;21,"Evening","Night"))))</f>
        <v>Evening</v>
      </c>
      <c r="V228" s="1" t="str">
        <f>IF(J228&lt;0.3,"Cold",
IF(J228&lt;0.6,"Pleasant","Hot"))</f>
        <v>Cold</v>
      </c>
      <c r="W228" s="1" t="str">
        <f>IF(L228&lt;0.4,"Low",
IF(L228&lt;0.7,"Medium","High"))</f>
        <v>Medium</v>
      </c>
      <c r="X228" s="1" t="str">
        <f>IF(M228&lt;0.2,"Low",
IF(M228&lt;0.4,"Medium","High"))</f>
        <v>Low</v>
      </c>
      <c r="Y228" s="1" t="str">
        <f>IF(P228&lt;100,"Low",
IF(P228&lt;300,"Medium","High"))</f>
        <v>Medium</v>
      </c>
    </row>
    <row r="229" spans="1:25" x14ac:dyDescent="0.3">
      <c r="A229">
        <v>228</v>
      </c>
      <c r="B229" s="2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 t="str">
        <f>VLOOKUP(MasterData[[#This Row],[season]],[1]Lookup!$A$2:$B$5,2,FALSE)</f>
        <v>Spring</v>
      </c>
      <c r="R229" t="str">
        <f>TEXT(DATE(2026,E229,1),"mmmm")</f>
        <v>January</v>
      </c>
      <c r="S229" t="str">
        <f>IF(OR(H229=0,H229=6),"Weekend","Weekday")</f>
        <v>Weekday</v>
      </c>
      <c r="T229" s="1" t="str">
        <f>VLOOKUP(I229,[1]Lookup!$D$2:$E$5,2,FALSE)</f>
        <v>Clear</v>
      </c>
      <c r="U229" s="1" t="str">
        <f>IF(F229&lt;6,"Night",
IF(F229&lt;12,"Morning",
IF(F229&lt;17,"Afternoon",
IF(F229&lt;21,"Evening","Night"))))</f>
        <v>Evening</v>
      </c>
      <c r="V229" s="1" t="str">
        <f>IF(J229&lt;0.3,"Cold",
IF(J229&lt;0.6,"Pleasant","Hot"))</f>
        <v>Cold</v>
      </c>
      <c r="W229" s="1" t="str">
        <f>IF(L229&lt;0.4,"Low",
IF(L229&lt;0.7,"Medium","High"))</f>
        <v>Medium</v>
      </c>
      <c r="X229" s="1" t="str">
        <f>IF(M229&lt;0.2,"Low",
IF(M229&lt;0.4,"Medium","High"))</f>
        <v>Medium</v>
      </c>
      <c r="Y229" s="1" t="str">
        <f>IF(P229&lt;100,"Low",
IF(P229&lt;300,"Medium","High"))</f>
        <v>Medium</v>
      </c>
    </row>
    <row r="230" spans="1:25" x14ac:dyDescent="0.3">
      <c r="A230">
        <v>229</v>
      </c>
      <c r="B230" s="2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 t="str">
        <f>VLOOKUP(MasterData[[#This Row],[season]],[1]Lookup!$A$2:$B$5,2,FALSE)</f>
        <v>Spring</v>
      </c>
      <c r="R230" t="str">
        <f>TEXT(DATE(2026,E230,1),"mmmm")</f>
        <v>January</v>
      </c>
      <c r="S230" t="str">
        <f>IF(OR(H230=0,H230=6),"Weekend","Weekday")</f>
        <v>Weekday</v>
      </c>
      <c r="T230" s="1" t="str">
        <f>VLOOKUP(I230,[1]Lookup!$D$2:$E$5,2,FALSE)</f>
        <v>Clear</v>
      </c>
      <c r="U230" s="1" t="str">
        <f>IF(F230&lt;6,"Night",
IF(F230&lt;12,"Morning",
IF(F230&lt;17,"Afternoon",
IF(F230&lt;21,"Evening","Night"))))</f>
        <v>Evening</v>
      </c>
      <c r="V230" s="1" t="str">
        <f>IF(J230&lt;0.3,"Cold",
IF(J230&lt;0.6,"Pleasant","Hot"))</f>
        <v>Cold</v>
      </c>
      <c r="W230" s="1" t="str">
        <f>IF(L230&lt;0.4,"Low",
IF(L230&lt;0.7,"Medium","High"))</f>
        <v>Medium</v>
      </c>
      <c r="X230" s="1" t="str">
        <f>IF(M230&lt;0.2,"Low",
IF(M230&lt;0.4,"Medium","High"))</f>
        <v>Low</v>
      </c>
      <c r="Y230" s="1" t="str">
        <f>IF(P230&lt;100,"Low",
IF(P230&lt;300,"Medium","High"))</f>
        <v>Low</v>
      </c>
    </row>
    <row r="231" spans="1:25" x14ac:dyDescent="0.3">
      <c r="A231">
        <v>230</v>
      </c>
      <c r="B231" s="2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 t="str">
        <f>VLOOKUP(MasterData[[#This Row],[season]],[1]Lookup!$A$2:$B$5,2,FALSE)</f>
        <v>Spring</v>
      </c>
      <c r="R231" t="str">
        <f>TEXT(DATE(2026,E231,1),"mmmm")</f>
        <v>January</v>
      </c>
      <c r="S231" t="str">
        <f>IF(OR(H231=0,H231=6),"Weekend","Weekday")</f>
        <v>Weekday</v>
      </c>
      <c r="T231" s="1" t="str">
        <f>VLOOKUP(I231,[1]Lookup!$D$2:$E$5,2,FALSE)</f>
        <v>Clear</v>
      </c>
      <c r="U231" s="1" t="str">
        <f>IF(F231&lt;6,"Night",
IF(F231&lt;12,"Morning",
IF(F231&lt;17,"Afternoon",
IF(F231&lt;21,"Evening","Night"))))</f>
        <v>Evening</v>
      </c>
      <c r="V231" s="1" t="str">
        <f>IF(J231&lt;0.3,"Cold",
IF(J231&lt;0.6,"Pleasant","Hot"))</f>
        <v>Cold</v>
      </c>
      <c r="W231" s="1" t="str">
        <f>IF(L231&lt;0.4,"Low",
IF(L231&lt;0.7,"Medium","High"))</f>
        <v>Medium</v>
      </c>
      <c r="X231" s="1" t="str">
        <f>IF(M231&lt;0.2,"Low",
IF(M231&lt;0.4,"Medium","High"))</f>
        <v>Low</v>
      </c>
      <c r="Y231" s="1" t="str">
        <f>IF(P231&lt;100,"Low",
IF(P231&lt;300,"Medium","High"))</f>
        <v>Low</v>
      </c>
    </row>
    <row r="232" spans="1:25" x14ac:dyDescent="0.3">
      <c r="A232">
        <v>231</v>
      </c>
      <c r="B232" s="2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 t="str">
        <f>VLOOKUP(MasterData[[#This Row],[season]],[1]Lookup!$A$2:$B$5,2,FALSE)</f>
        <v>Spring</v>
      </c>
      <c r="R232" t="str">
        <f>TEXT(DATE(2026,E232,1),"mmmm")</f>
        <v>January</v>
      </c>
      <c r="S232" t="str">
        <f>IF(OR(H232=0,H232=6),"Weekend","Weekday")</f>
        <v>Weekday</v>
      </c>
      <c r="T232" s="1" t="str">
        <f>VLOOKUP(I232,[1]Lookup!$D$2:$E$5,2,FALSE)</f>
        <v>Clear</v>
      </c>
      <c r="U232" s="1" t="str">
        <f>IF(F232&lt;6,"Night",
IF(F232&lt;12,"Morning",
IF(F232&lt;17,"Afternoon",
IF(F232&lt;21,"Evening","Night"))))</f>
        <v>Night</v>
      </c>
      <c r="V232" s="1" t="str">
        <f>IF(J232&lt;0.3,"Cold",
IF(J232&lt;0.6,"Pleasant","Hot"))</f>
        <v>Cold</v>
      </c>
      <c r="W232" s="1" t="str">
        <f>IF(L232&lt;0.4,"Low",
IF(L232&lt;0.7,"Medium","High"))</f>
        <v>Medium</v>
      </c>
      <c r="X232" s="1" t="str">
        <f>IF(M232&lt;0.2,"Low",
IF(M232&lt;0.4,"Medium","High"))</f>
        <v>Low</v>
      </c>
      <c r="Y232" s="1" t="str">
        <f>IF(P232&lt;100,"Low",
IF(P232&lt;300,"Medium","High"))</f>
        <v>Low</v>
      </c>
    </row>
    <row r="233" spans="1:25" x14ac:dyDescent="0.3">
      <c r="A233">
        <v>232</v>
      </c>
      <c r="B233" s="2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 t="str">
        <f>VLOOKUP(MasterData[[#This Row],[season]],[1]Lookup!$A$2:$B$5,2,FALSE)</f>
        <v>Spring</v>
      </c>
      <c r="R233" t="str">
        <f>TEXT(DATE(2026,E233,1),"mmmm")</f>
        <v>January</v>
      </c>
      <c r="S233" t="str">
        <f>IF(OR(H233=0,H233=6),"Weekend","Weekday")</f>
        <v>Weekday</v>
      </c>
      <c r="T233" s="1" t="str">
        <f>VLOOKUP(I233,[1]Lookup!$D$2:$E$5,2,FALSE)</f>
        <v>Clear</v>
      </c>
      <c r="U233" s="1" t="str">
        <f>IF(F233&lt;6,"Night",
IF(F233&lt;12,"Morning",
IF(F233&lt;17,"Afternoon",
IF(F233&lt;21,"Evening","Night"))))</f>
        <v>Night</v>
      </c>
      <c r="V233" s="1" t="str">
        <f>IF(J233&lt;0.3,"Cold",
IF(J233&lt;0.6,"Pleasant","Hot"))</f>
        <v>Cold</v>
      </c>
      <c r="W233" s="1" t="str">
        <f>IF(L233&lt;0.4,"Low",
IF(L233&lt;0.7,"Medium","High"))</f>
        <v>Medium</v>
      </c>
      <c r="X233" s="1" t="str">
        <f>IF(M233&lt;0.2,"Low",
IF(M233&lt;0.4,"Medium","High"))</f>
        <v>Low</v>
      </c>
      <c r="Y233" s="1" t="str">
        <f>IF(P233&lt;100,"Low",
IF(P233&lt;300,"Medium","High"))</f>
        <v>Low</v>
      </c>
    </row>
    <row r="234" spans="1:25" x14ac:dyDescent="0.3">
      <c r="A234">
        <v>233</v>
      </c>
      <c r="B234" s="2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 t="str">
        <f>VLOOKUP(MasterData[[#This Row],[season]],[1]Lookup!$A$2:$B$5,2,FALSE)</f>
        <v>Spring</v>
      </c>
      <c r="R234" t="str">
        <f>TEXT(DATE(2026,E234,1),"mmmm")</f>
        <v>January</v>
      </c>
      <c r="S234" t="str">
        <f>IF(OR(H234=0,H234=6),"Weekend","Weekday")</f>
        <v>Weekday</v>
      </c>
      <c r="T234" s="1" t="str">
        <f>VLOOKUP(I234,[1]Lookup!$D$2:$E$5,2,FALSE)</f>
        <v>Clear</v>
      </c>
      <c r="U234" s="1" t="str">
        <f>IF(F234&lt;6,"Night",
IF(F234&lt;12,"Morning",
IF(F234&lt;17,"Afternoon",
IF(F234&lt;21,"Evening","Night"))))</f>
        <v>Night</v>
      </c>
      <c r="V234" s="1" t="str">
        <f>IF(J234&lt;0.3,"Cold",
IF(J234&lt;0.6,"Pleasant","Hot"))</f>
        <v>Cold</v>
      </c>
      <c r="W234" s="1" t="str">
        <f>IF(L234&lt;0.4,"Low",
IF(L234&lt;0.7,"Medium","High"))</f>
        <v>Medium</v>
      </c>
      <c r="X234" s="1" t="str">
        <f>IF(M234&lt;0.2,"Low",
IF(M234&lt;0.4,"Medium","High"))</f>
        <v>Low</v>
      </c>
      <c r="Y234" s="1" t="str">
        <f>IF(P234&lt;100,"Low",
IF(P234&lt;300,"Medium","High"))</f>
        <v>Low</v>
      </c>
    </row>
    <row r="235" spans="1:25" x14ac:dyDescent="0.3">
      <c r="A235">
        <v>234</v>
      </c>
      <c r="B235" s="2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  <c r="Q235" t="str">
        <f>VLOOKUP(MasterData[[#This Row],[season]],[1]Lookup!$A$2:$B$5,2,FALSE)</f>
        <v>Spring</v>
      </c>
      <c r="R235" t="str">
        <f>TEXT(DATE(2026,E235,1),"mmmm")</f>
        <v>January</v>
      </c>
      <c r="S235" t="str">
        <f>IF(OR(H235=0,H235=6),"Weekend","Weekday")</f>
        <v>Weekday</v>
      </c>
      <c r="T235" s="1" t="str">
        <f>VLOOKUP(I235,[1]Lookup!$D$2:$E$5,2,FALSE)</f>
        <v>Clear</v>
      </c>
      <c r="U235" s="1" t="str">
        <f>IF(F235&lt;6,"Night",
IF(F235&lt;12,"Morning",
IF(F235&lt;17,"Afternoon",
IF(F235&lt;21,"Evening","Night"))))</f>
        <v>Night</v>
      </c>
      <c r="V235" s="1" t="str">
        <f>IF(J235&lt;0.3,"Cold",
IF(J235&lt;0.6,"Pleasant","Hot"))</f>
        <v>Cold</v>
      </c>
      <c r="W235" s="1" t="str">
        <f>IF(L235&lt;0.4,"Low",
IF(L235&lt;0.7,"Medium","High"))</f>
        <v>Medium</v>
      </c>
      <c r="X235" s="1" t="str">
        <f>IF(M235&lt;0.2,"Low",
IF(M235&lt;0.4,"Medium","High"))</f>
        <v>Low</v>
      </c>
      <c r="Y235" s="1" t="str">
        <f>IF(P235&lt;100,"Low",
IF(P235&lt;300,"Medium","High"))</f>
        <v>Low</v>
      </c>
    </row>
    <row r="236" spans="1:25" x14ac:dyDescent="0.3">
      <c r="A236">
        <v>235</v>
      </c>
      <c r="B236" s="2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 t="str">
        <f>VLOOKUP(MasterData[[#This Row],[season]],[1]Lookup!$A$2:$B$5,2,FALSE)</f>
        <v>Spring</v>
      </c>
      <c r="R236" t="str">
        <f>TEXT(DATE(2026,E236,1),"mmmm")</f>
        <v>January</v>
      </c>
      <c r="S236" t="str">
        <f>IF(OR(H236=0,H236=6),"Weekend","Weekday")</f>
        <v>Weekday</v>
      </c>
      <c r="T236" s="1" t="str">
        <f>VLOOKUP(I236,[1]Lookup!$D$2:$E$5,2,FALSE)</f>
        <v>Clear</v>
      </c>
      <c r="U236" s="1" t="str">
        <f>IF(F236&lt;6,"Night",
IF(F236&lt;12,"Morning",
IF(F236&lt;17,"Afternoon",
IF(F236&lt;21,"Evening","Night"))))</f>
        <v>Night</v>
      </c>
      <c r="V236" s="1" t="str">
        <f>IF(J236&lt;0.3,"Cold",
IF(J236&lt;0.6,"Pleasant","Hot"))</f>
        <v>Cold</v>
      </c>
      <c r="W236" s="1" t="str">
        <f>IF(L236&lt;0.4,"Low",
IF(L236&lt;0.7,"Medium","High"))</f>
        <v>Medium</v>
      </c>
      <c r="X236" s="1" t="str">
        <f>IF(M236&lt;0.2,"Low",
IF(M236&lt;0.4,"Medium","High"))</f>
        <v>Low</v>
      </c>
      <c r="Y236" s="1" t="str">
        <f>IF(P236&lt;100,"Low",
IF(P236&lt;300,"Medium","High"))</f>
        <v>Low</v>
      </c>
    </row>
    <row r="237" spans="1:25" x14ac:dyDescent="0.3">
      <c r="A237">
        <v>236</v>
      </c>
      <c r="B237" s="2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 t="str">
        <f>VLOOKUP(MasterData[[#This Row],[season]],[1]Lookup!$A$2:$B$5,2,FALSE)</f>
        <v>Spring</v>
      </c>
      <c r="R237" t="str">
        <f>TEXT(DATE(2026,E237,1),"mmmm")</f>
        <v>January</v>
      </c>
      <c r="S237" t="str">
        <f>IF(OR(H237=0,H237=6),"Weekend","Weekday")</f>
        <v>Weekday</v>
      </c>
      <c r="T237" s="1" t="str">
        <f>VLOOKUP(I237,[1]Lookup!$D$2:$E$5,2,FALSE)</f>
        <v>Mist / Cloudy</v>
      </c>
      <c r="U237" s="1" t="str">
        <f>IF(F237&lt;6,"Night",
IF(F237&lt;12,"Morning",
IF(F237&lt;17,"Afternoon",
IF(F237&lt;21,"Evening","Night"))))</f>
        <v>Night</v>
      </c>
      <c r="V237" s="1" t="str">
        <f>IF(J237&lt;0.3,"Cold",
IF(J237&lt;0.6,"Pleasant","Hot"))</f>
        <v>Cold</v>
      </c>
      <c r="W237" s="1" t="str">
        <f>IF(L237&lt;0.4,"Low",
IF(L237&lt;0.7,"Medium","High"))</f>
        <v>Medium</v>
      </c>
      <c r="X237" s="1" t="str">
        <f>IF(M237&lt;0.2,"Low",
IF(M237&lt;0.4,"Medium","High"))</f>
        <v>Low</v>
      </c>
      <c r="Y237" s="1" t="str">
        <f>IF(P237&lt;100,"Low",
IF(P237&lt;300,"Medium","High"))</f>
        <v>Low</v>
      </c>
    </row>
    <row r="238" spans="1:25" x14ac:dyDescent="0.3">
      <c r="A238">
        <v>237</v>
      </c>
      <c r="B238" s="2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 t="str">
        <f>VLOOKUP(MasterData[[#This Row],[season]],[1]Lookup!$A$2:$B$5,2,FALSE)</f>
        <v>Spring</v>
      </c>
      <c r="R238" t="str">
        <f>TEXT(DATE(2026,E238,1),"mmmm")</f>
        <v>January</v>
      </c>
      <c r="S238" t="str">
        <f>IF(OR(H238=0,H238=6),"Weekend","Weekday")</f>
        <v>Weekday</v>
      </c>
      <c r="T238" s="1" t="str">
        <f>VLOOKUP(I238,[1]Lookup!$D$2:$E$5,2,FALSE)</f>
        <v>Mist / Cloudy</v>
      </c>
      <c r="U238" s="1" t="str">
        <f>IF(F238&lt;6,"Night",
IF(F238&lt;12,"Morning",
IF(F238&lt;17,"Afternoon",
IF(F238&lt;21,"Evening","Night"))))</f>
        <v>Night</v>
      </c>
      <c r="V238" s="1" t="str">
        <f>IF(J238&lt;0.3,"Cold",
IF(J238&lt;0.6,"Pleasant","Hot"))</f>
        <v>Cold</v>
      </c>
      <c r="W238" s="1" t="str">
        <f>IF(L238&lt;0.4,"Low",
IF(L238&lt;0.7,"Medium","High"))</f>
        <v>Medium</v>
      </c>
      <c r="X238" s="1" t="str">
        <f>IF(M238&lt;0.2,"Low",
IF(M238&lt;0.4,"Medium","High"))</f>
        <v>Low</v>
      </c>
      <c r="Y238" s="1" t="str">
        <f>IF(P238&lt;100,"Low",
IF(P238&lt;300,"Medium","High"))</f>
        <v>Low</v>
      </c>
    </row>
    <row r="239" spans="1:25" x14ac:dyDescent="0.3">
      <c r="A239">
        <v>238</v>
      </c>
      <c r="B239" s="2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 t="str">
        <f>VLOOKUP(MasterData[[#This Row],[season]],[1]Lookup!$A$2:$B$5,2,FALSE)</f>
        <v>Spring</v>
      </c>
      <c r="R239" t="str">
        <f>TEXT(DATE(2026,E239,1),"mmmm")</f>
        <v>January</v>
      </c>
      <c r="S239" t="str">
        <f>IF(OR(H239=0,H239=6),"Weekend","Weekday")</f>
        <v>Weekday</v>
      </c>
      <c r="T239" s="1" t="str">
        <f>VLOOKUP(I239,[1]Lookup!$D$2:$E$5,2,FALSE)</f>
        <v>Mist / Cloudy</v>
      </c>
      <c r="U239" s="1" t="str">
        <f>IF(F239&lt;6,"Night",
IF(F239&lt;12,"Morning",
IF(F239&lt;17,"Afternoon",
IF(F239&lt;21,"Evening","Night"))))</f>
        <v>Morning</v>
      </c>
      <c r="V239" s="1" t="str">
        <f>IF(J239&lt;0.3,"Cold",
IF(J239&lt;0.6,"Pleasant","Hot"))</f>
        <v>Cold</v>
      </c>
      <c r="W239" s="1" t="str">
        <f>IF(L239&lt;0.4,"Low",
IF(L239&lt;0.7,"Medium","High"))</f>
        <v>Medium</v>
      </c>
      <c r="X239" s="1" t="str">
        <f>IF(M239&lt;0.2,"Low",
IF(M239&lt;0.4,"Medium","High"))</f>
        <v>Low</v>
      </c>
      <c r="Y239" s="1" t="str">
        <f>IF(P239&lt;100,"Low",
IF(P239&lt;300,"Medium","High"))</f>
        <v>Low</v>
      </c>
    </row>
    <row r="240" spans="1:25" x14ac:dyDescent="0.3">
      <c r="A240">
        <v>239</v>
      </c>
      <c r="B240" s="2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 t="str">
        <f>VLOOKUP(MasterData[[#This Row],[season]],[1]Lookup!$A$2:$B$5,2,FALSE)</f>
        <v>Spring</v>
      </c>
      <c r="R240" t="str">
        <f>TEXT(DATE(2026,E240,1),"mmmm")</f>
        <v>January</v>
      </c>
      <c r="S240" t="str">
        <f>IF(OR(H240=0,H240=6),"Weekend","Weekday")</f>
        <v>Weekday</v>
      </c>
      <c r="T240" s="1" t="str">
        <f>VLOOKUP(I240,[1]Lookup!$D$2:$E$5,2,FALSE)</f>
        <v>Mist / Cloudy</v>
      </c>
      <c r="U240" s="1" t="str">
        <f>IF(F240&lt;6,"Night",
IF(F240&lt;12,"Morning",
IF(F240&lt;17,"Afternoon",
IF(F240&lt;21,"Evening","Night"))))</f>
        <v>Morning</v>
      </c>
      <c r="V240" s="1" t="str">
        <f>IF(J240&lt;0.3,"Cold",
IF(J240&lt;0.6,"Pleasant","Hot"))</f>
        <v>Cold</v>
      </c>
      <c r="W240" s="1" t="str">
        <f>IF(L240&lt;0.4,"Low",
IF(L240&lt;0.7,"Medium","High"))</f>
        <v>Medium</v>
      </c>
      <c r="X240" s="1" t="str">
        <f>IF(M240&lt;0.2,"Low",
IF(M240&lt;0.4,"Medium","High"))</f>
        <v>Low</v>
      </c>
      <c r="Y240" s="1" t="str">
        <f>IF(P240&lt;100,"Low",
IF(P240&lt;300,"Medium","High"))</f>
        <v>Low</v>
      </c>
    </row>
    <row r="241" spans="1:25" x14ac:dyDescent="0.3">
      <c r="A241">
        <v>240</v>
      </c>
      <c r="B241" s="2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 t="str">
        <f>VLOOKUP(MasterData[[#This Row],[season]],[1]Lookup!$A$2:$B$5,2,FALSE)</f>
        <v>Spring</v>
      </c>
      <c r="R241" t="str">
        <f>TEXT(DATE(2026,E241,1),"mmmm")</f>
        <v>January</v>
      </c>
      <c r="S241" t="str">
        <f>IF(OR(H241=0,H241=6),"Weekend","Weekday")</f>
        <v>Weekday</v>
      </c>
      <c r="T241" s="1" t="str">
        <f>VLOOKUP(I241,[1]Lookup!$D$2:$E$5,2,FALSE)</f>
        <v>Mist / Cloudy</v>
      </c>
      <c r="U241" s="1" t="str">
        <f>IF(F241&lt;6,"Night",
IF(F241&lt;12,"Morning",
IF(F241&lt;17,"Afternoon",
IF(F241&lt;21,"Evening","Night"))))</f>
        <v>Morning</v>
      </c>
      <c r="V241" s="1" t="str">
        <f>IF(J241&lt;0.3,"Cold",
IF(J241&lt;0.6,"Pleasant","Hot"))</f>
        <v>Cold</v>
      </c>
      <c r="W241" s="1" t="str">
        <f>IF(L241&lt;0.4,"Low",
IF(L241&lt;0.7,"Medium","High"))</f>
        <v>Medium</v>
      </c>
      <c r="X241" s="1" t="str">
        <f>IF(M241&lt;0.2,"Low",
IF(M241&lt;0.4,"Medium","High"))</f>
        <v>Low</v>
      </c>
      <c r="Y241" s="1" t="str">
        <f>IF(P241&lt;100,"Low",
IF(P241&lt;300,"Medium","High"))</f>
        <v>Medium</v>
      </c>
    </row>
    <row r="242" spans="1:25" x14ac:dyDescent="0.3">
      <c r="A242">
        <v>241</v>
      </c>
      <c r="B242" s="2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 t="str">
        <f>VLOOKUP(MasterData[[#This Row],[season]],[1]Lookup!$A$2:$B$5,2,FALSE)</f>
        <v>Spring</v>
      </c>
      <c r="R242" t="str">
        <f>TEXT(DATE(2026,E242,1),"mmmm")</f>
        <v>January</v>
      </c>
      <c r="S242" t="str">
        <f>IF(OR(H242=0,H242=6),"Weekend","Weekday")</f>
        <v>Weekday</v>
      </c>
      <c r="T242" s="1" t="str">
        <f>VLOOKUP(I242,[1]Lookup!$D$2:$E$5,2,FALSE)</f>
        <v>Mist / Cloudy</v>
      </c>
      <c r="U242" s="1" t="str">
        <f>IF(F242&lt;6,"Night",
IF(F242&lt;12,"Morning",
IF(F242&lt;17,"Afternoon",
IF(F242&lt;21,"Evening","Night"))))</f>
        <v>Morning</v>
      </c>
      <c r="V242" s="1" t="str">
        <f>IF(J242&lt;0.3,"Cold",
IF(J242&lt;0.6,"Pleasant","Hot"))</f>
        <v>Cold</v>
      </c>
      <c r="W242" s="1" t="str">
        <f>IF(L242&lt;0.4,"Low",
IF(L242&lt;0.7,"Medium","High"))</f>
        <v>Medium</v>
      </c>
      <c r="X242" s="1" t="str">
        <f>IF(M242&lt;0.2,"Low",
IF(M242&lt;0.4,"Medium","High"))</f>
        <v>Low</v>
      </c>
      <c r="Y242" s="1" t="str">
        <f>IF(P242&lt;100,"Low",
IF(P242&lt;300,"Medium","High"))</f>
        <v>Medium</v>
      </c>
    </row>
    <row r="243" spans="1:25" x14ac:dyDescent="0.3">
      <c r="A243">
        <v>242</v>
      </c>
      <c r="B243" s="2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 t="str">
        <f>VLOOKUP(MasterData[[#This Row],[season]],[1]Lookup!$A$2:$B$5,2,FALSE)</f>
        <v>Spring</v>
      </c>
      <c r="R243" t="str">
        <f>TEXT(DATE(2026,E243,1),"mmmm")</f>
        <v>January</v>
      </c>
      <c r="S243" t="str">
        <f>IF(OR(H243=0,H243=6),"Weekend","Weekday")</f>
        <v>Weekday</v>
      </c>
      <c r="T243" s="1" t="str">
        <f>VLOOKUP(I243,[1]Lookup!$D$2:$E$5,2,FALSE)</f>
        <v>Mist / Cloudy</v>
      </c>
      <c r="U243" s="1" t="str">
        <f>IF(F243&lt;6,"Night",
IF(F243&lt;12,"Morning",
IF(F243&lt;17,"Afternoon",
IF(F243&lt;21,"Evening","Night"))))</f>
        <v>Morning</v>
      </c>
      <c r="V243" s="1" t="str">
        <f>IF(J243&lt;0.3,"Cold",
IF(J243&lt;0.6,"Pleasant","Hot"))</f>
        <v>Cold</v>
      </c>
      <c r="W243" s="1" t="str">
        <f>IF(L243&lt;0.4,"Low",
IF(L243&lt;0.7,"Medium","High"))</f>
        <v>Medium</v>
      </c>
      <c r="X243" s="1" t="str">
        <f>IF(M243&lt;0.2,"Low",
IF(M243&lt;0.4,"Medium","High"))</f>
        <v>Low</v>
      </c>
      <c r="Y243" s="1" t="str">
        <f>IF(P243&lt;100,"Low",
IF(P243&lt;300,"Medium","High"))</f>
        <v>Low</v>
      </c>
    </row>
    <row r="244" spans="1:25" x14ac:dyDescent="0.3">
      <c r="A244">
        <v>243</v>
      </c>
      <c r="B244" s="2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  <c r="Q244" t="str">
        <f>VLOOKUP(MasterData[[#This Row],[season]],[1]Lookup!$A$2:$B$5,2,FALSE)</f>
        <v>Spring</v>
      </c>
      <c r="R244" t="str">
        <f>TEXT(DATE(2026,E244,1),"mmmm")</f>
        <v>January</v>
      </c>
      <c r="S244" t="str">
        <f>IF(OR(H244=0,H244=6),"Weekend","Weekday")</f>
        <v>Weekday</v>
      </c>
      <c r="T244" s="1" t="str">
        <f>VLOOKUP(I244,[1]Lookup!$D$2:$E$5,2,FALSE)</f>
        <v>Mist / Cloudy</v>
      </c>
      <c r="U244" s="1" t="str">
        <f>IF(F244&lt;6,"Night",
IF(F244&lt;12,"Morning",
IF(F244&lt;17,"Afternoon",
IF(F244&lt;21,"Evening","Night"))))</f>
        <v>Morning</v>
      </c>
      <c r="V244" s="1" t="str">
        <f>IF(J244&lt;0.3,"Cold",
IF(J244&lt;0.6,"Pleasant","Hot"))</f>
        <v>Cold</v>
      </c>
      <c r="W244" s="1" t="str">
        <f>IF(L244&lt;0.4,"Low",
IF(L244&lt;0.7,"Medium","High"))</f>
        <v>Medium</v>
      </c>
      <c r="X244" s="1" t="str">
        <f>IF(M244&lt;0.2,"Low",
IF(M244&lt;0.4,"Medium","High"))</f>
        <v>Low</v>
      </c>
      <c r="Y244" s="1" t="str">
        <f>IF(P244&lt;100,"Low",
IF(P244&lt;300,"Medium","High"))</f>
        <v>Low</v>
      </c>
    </row>
    <row r="245" spans="1:25" x14ac:dyDescent="0.3">
      <c r="A245">
        <v>244</v>
      </c>
      <c r="B245" s="2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 t="str">
        <f>VLOOKUP(MasterData[[#This Row],[season]],[1]Lookup!$A$2:$B$5,2,FALSE)</f>
        <v>Spring</v>
      </c>
      <c r="R245" t="str">
        <f>TEXT(DATE(2026,E245,1),"mmmm")</f>
        <v>January</v>
      </c>
      <c r="S245" t="str">
        <f>IF(OR(H245=0,H245=6),"Weekend","Weekday")</f>
        <v>Weekday</v>
      </c>
      <c r="T245" s="1" t="str">
        <f>VLOOKUP(I245,[1]Lookup!$D$2:$E$5,2,FALSE)</f>
        <v>Mist / Cloudy</v>
      </c>
      <c r="U245" s="1" t="str">
        <f>IF(F245&lt;6,"Night",
IF(F245&lt;12,"Morning",
IF(F245&lt;17,"Afternoon",
IF(F245&lt;21,"Evening","Night"))))</f>
        <v>Afternoon</v>
      </c>
      <c r="V245" s="1" t="str">
        <f>IF(J245&lt;0.3,"Cold",
IF(J245&lt;0.6,"Pleasant","Hot"))</f>
        <v>Cold</v>
      </c>
      <c r="W245" s="1" t="str">
        <f>IF(L245&lt;0.4,"Low",
IF(L245&lt;0.7,"Medium","High"))</f>
        <v>Medium</v>
      </c>
      <c r="X245" s="1" t="str">
        <f>IF(M245&lt;0.2,"Low",
IF(M245&lt;0.4,"Medium","High"))</f>
        <v>Low</v>
      </c>
      <c r="Y245" s="1" t="str">
        <f>IF(P245&lt;100,"Low",
IF(P245&lt;300,"Medium","High"))</f>
        <v>Low</v>
      </c>
    </row>
    <row r="246" spans="1:25" x14ac:dyDescent="0.3">
      <c r="A246">
        <v>245</v>
      </c>
      <c r="B246" s="2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 t="str">
        <f>VLOOKUP(MasterData[[#This Row],[season]],[1]Lookup!$A$2:$B$5,2,FALSE)</f>
        <v>Spring</v>
      </c>
      <c r="R246" t="str">
        <f>TEXT(DATE(2026,E246,1),"mmmm")</f>
        <v>January</v>
      </c>
      <c r="S246" t="str">
        <f>IF(OR(H246=0,H246=6),"Weekend","Weekday")</f>
        <v>Weekday</v>
      </c>
      <c r="T246" s="1" t="str">
        <f>VLOOKUP(I246,[1]Lookup!$D$2:$E$5,2,FALSE)</f>
        <v>Mist / Cloudy</v>
      </c>
      <c r="U246" s="1" t="str">
        <f>IF(F246&lt;6,"Night",
IF(F246&lt;12,"Morning",
IF(F246&lt;17,"Afternoon",
IF(F246&lt;21,"Evening","Night"))))</f>
        <v>Afternoon</v>
      </c>
      <c r="V246" s="1" t="str">
        <f>IF(J246&lt;0.3,"Cold",
IF(J246&lt;0.6,"Pleasant","Hot"))</f>
        <v>Cold</v>
      </c>
      <c r="W246" s="1" t="str">
        <f>IF(L246&lt;0.4,"Low",
IF(L246&lt;0.7,"Medium","High"))</f>
        <v>Medium</v>
      </c>
      <c r="X246" s="1" t="str">
        <f>IF(M246&lt;0.2,"Low",
IF(M246&lt;0.4,"Medium","High"))</f>
        <v>Low</v>
      </c>
      <c r="Y246" s="1" t="str">
        <f>IF(P246&lt;100,"Low",
IF(P246&lt;300,"Medium","High"))</f>
        <v>Low</v>
      </c>
    </row>
    <row r="247" spans="1:25" x14ac:dyDescent="0.3">
      <c r="A247">
        <v>246</v>
      </c>
      <c r="B247" s="2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 t="str">
        <f>VLOOKUP(MasterData[[#This Row],[season]],[1]Lookup!$A$2:$B$5,2,FALSE)</f>
        <v>Spring</v>
      </c>
      <c r="R247" t="str">
        <f>TEXT(DATE(2026,E247,1),"mmmm")</f>
        <v>January</v>
      </c>
      <c r="S247" t="str">
        <f>IF(OR(H247=0,H247=6),"Weekend","Weekday")</f>
        <v>Weekday</v>
      </c>
      <c r="T247" s="1" t="str">
        <f>VLOOKUP(I247,[1]Lookup!$D$2:$E$5,2,FALSE)</f>
        <v>Mist / Cloudy</v>
      </c>
      <c r="U247" s="1" t="str">
        <f>IF(F247&lt;6,"Night",
IF(F247&lt;12,"Morning",
IF(F247&lt;17,"Afternoon",
IF(F247&lt;21,"Evening","Night"))))</f>
        <v>Afternoon</v>
      </c>
      <c r="V247" s="1" t="str">
        <f>IF(J247&lt;0.3,"Cold",
IF(J247&lt;0.6,"Pleasant","Hot"))</f>
        <v>Cold</v>
      </c>
      <c r="W247" s="1" t="str">
        <f>IF(L247&lt;0.4,"Low",
IF(L247&lt;0.7,"Medium","High"))</f>
        <v>Medium</v>
      </c>
      <c r="X247" s="1" t="str">
        <f>IF(M247&lt;0.2,"Low",
IF(M247&lt;0.4,"Medium","High"))</f>
        <v>Low</v>
      </c>
      <c r="Y247" s="1" t="str">
        <f>IF(P247&lt;100,"Low",
IF(P247&lt;300,"Medium","High"))</f>
        <v>Low</v>
      </c>
    </row>
    <row r="248" spans="1:25" x14ac:dyDescent="0.3">
      <c r="A248">
        <v>247</v>
      </c>
      <c r="B248" s="2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 t="str">
        <f>VLOOKUP(MasterData[[#This Row],[season]],[1]Lookup!$A$2:$B$5,2,FALSE)</f>
        <v>Spring</v>
      </c>
      <c r="R248" t="str">
        <f>TEXT(DATE(2026,E248,1),"mmmm")</f>
        <v>January</v>
      </c>
      <c r="S248" t="str">
        <f>IF(OR(H248=0,H248=6),"Weekend","Weekday")</f>
        <v>Weekday</v>
      </c>
      <c r="T248" s="1" t="str">
        <f>VLOOKUP(I248,[1]Lookup!$D$2:$E$5,2,FALSE)</f>
        <v>Mist / Cloudy</v>
      </c>
      <c r="U248" s="1" t="str">
        <f>IF(F248&lt;6,"Night",
IF(F248&lt;12,"Morning",
IF(F248&lt;17,"Afternoon",
IF(F248&lt;21,"Evening","Night"))))</f>
        <v>Afternoon</v>
      </c>
      <c r="V248" s="1" t="str">
        <f>IF(J248&lt;0.3,"Cold",
IF(J248&lt;0.6,"Pleasant","Hot"))</f>
        <v>Cold</v>
      </c>
      <c r="W248" s="1" t="str">
        <f>IF(L248&lt;0.4,"Low",
IF(L248&lt;0.7,"Medium","High"))</f>
        <v>High</v>
      </c>
      <c r="X248" s="1" t="str">
        <f>IF(M248&lt;0.2,"Low",
IF(M248&lt;0.4,"Medium","High"))</f>
        <v>Low</v>
      </c>
      <c r="Y248" s="1" t="str">
        <f>IF(P248&lt;100,"Low",
IF(P248&lt;300,"Medium","High"))</f>
        <v>Low</v>
      </c>
    </row>
    <row r="249" spans="1:25" x14ac:dyDescent="0.3">
      <c r="A249">
        <v>248</v>
      </c>
      <c r="B249" s="2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 t="str">
        <f>VLOOKUP(MasterData[[#This Row],[season]],[1]Lookup!$A$2:$B$5,2,FALSE)</f>
        <v>Spring</v>
      </c>
      <c r="R249" t="str">
        <f>TEXT(DATE(2026,E249,1),"mmmm")</f>
        <v>January</v>
      </c>
      <c r="S249" t="str">
        <f>IF(OR(H249=0,H249=6),"Weekend","Weekday")</f>
        <v>Weekday</v>
      </c>
      <c r="T249" s="1" t="str">
        <f>VLOOKUP(I249,[1]Lookup!$D$2:$E$5,2,FALSE)</f>
        <v>Mist / Cloudy</v>
      </c>
      <c r="U249" s="1" t="str">
        <f>IF(F249&lt;6,"Night",
IF(F249&lt;12,"Morning",
IF(F249&lt;17,"Afternoon",
IF(F249&lt;21,"Evening","Night"))))</f>
        <v>Afternoon</v>
      </c>
      <c r="V249" s="1" t="str">
        <f>IF(J249&lt;0.3,"Cold",
IF(J249&lt;0.6,"Pleasant","Hot"))</f>
        <v>Cold</v>
      </c>
      <c r="W249" s="1" t="str">
        <f>IF(L249&lt;0.4,"Low",
IF(L249&lt;0.7,"Medium","High"))</f>
        <v>High</v>
      </c>
      <c r="X249" s="1" t="str">
        <f>IF(M249&lt;0.2,"Low",
IF(M249&lt;0.4,"Medium","High"))</f>
        <v>Medium</v>
      </c>
      <c r="Y249" s="1" t="str">
        <f>IF(P249&lt;100,"Low",
IF(P249&lt;300,"Medium","High"))</f>
        <v>Low</v>
      </c>
    </row>
    <row r="250" spans="1:25" x14ac:dyDescent="0.3">
      <c r="A250">
        <v>249</v>
      </c>
      <c r="B250" s="2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 t="str">
        <f>VLOOKUP(MasterData[[#This Row],[season]],[1]Lookup!$A$2:$B$5,2,FALSE)</f>
        <v>Spring</v>
      </c>
      <c r="R250" t="str">
        <f>TEXT(DATE(2026,E250,1),"mmmm")</f>
        <v>January</v>
      </c>
      <c r="S250" t="str">
        <f>IF(OR(H250=0,H250=6),"Weekend","Weekday")</f>
        <v>Weekday</v>
      </c>
      <c r="T250" s="1" t="str">
        <f>VLOOKUP(I250,[1]Lookup!$D$2:$E$5,2,FALSE)</f>
        <v>Mist / Cloudy</v>
      </c>
      <c r="U250" s="1" t="str">
        <f>IF(F250&lt;6,"Night",
IF(F250&lt;12,"Morning",
IF(F250&lt;17,"Afternoon",
IF(F250&lt;21,"Evening","Night"))))</f>
        <v>Evening</v>
      </c>
      <c r="V250" s="1" t="str">
        <f>IF(J250&lt;0.3,"Cold",
IF(J250&lt;0.6,"Pleasant","Hot"))</f>
        <v>Cold</v>
      </c>
      <c r="W250" s="1" t="str">
        <f>IF(L250&lt;0.4,"Low",
IF(L250&lt;0.7,"Medium","High"))</f>
        <v>High</v>
      </c>
      <c r="X250" s="1" t="str">
        <f>IF(M250&lt;0.2,"Low",
IF(M250&lt;0.4,"Medium","High"))</f>
        <v>Medium</v>
      </c>
      <c r="Y250" s="1" t="str">
        <f>IF(P250&lt;100,"Low",
IF(P250&lt;300,"Medium","High"))</f>
        <v>Medium</v>
      </c>
    </row>
    <row r="251" spans="1:25" x14ac:dyDescent="0.3">
      <c r="A251">
        <v>250</v>
      </c>
      <c r="B251" s="2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  <c r="Q251" t="str">
        <f>VLOOKUP(MasterData[[#This Row],[season]],[1]Lookup!$A$2:$B$5,2,FALSE)</f>
        <v>Spring</v>
      </c>
      <c r="R251" t="str">
        <f>TEXT(DATE(2026,E251,1),"mmmm")</f>
        <v>January</v>
      </c>
      <c r="S251" t="str">
        <f>IF(OR(H251=0,H251=6),"Weekend","Weekday")</f>
        <v>Weekday</v>
      </c>
      <c r="T251" s="1" t="str">
        <f>VLOOKUP(I251,[1]Lookup!$D$2:$E$5,2,FALSE)</f>
        <v>Light Rain / Snow</v>
      </c>
      <c r="U251" s="1" t="str">
        <f>IF(F251&lt;6,"Night",
IF(F251&lt;12,"Morning",
IF(F251&lt;17,"Afternoon",
IF(F251&lt;21,"Evening","Night"))))</f>
        <v>Evening</v>
      </c>
      <c r="V251" s="1" t="str">
        <f>IF(J251&lt;0.3,"Cold",
IF(J251&lt;0.6,"Pleasant","Hot"))</f>
        <v>Cold</v>
      </c>
      <c r="W251" s="1" t="str">
        <f>IF(L251&lt;0.4,"Low",
IF(L251&lt;0.7,"Medium","High"))</f>
        <v>High</v>
      </c>
      <c r="X251" s="1" t="str">
        <f>IF(M251&lt;0.2,"Low",
IF(M251&lt;0.4,"Medium","High"))</f>
        <v>Low</v>
      </c>
      <c r="Y251" s="1" t="str">
        <f>IF(P251&lt;100,"Low",
IF(P251&lt;300,"Medium","High"))</f>
        <v>Low</v>
      </c>
    </row>
    <row r="252" spans="1:25" x14ac:dyDescent="0.3">
      <c r="A252">
        <v>251</v>
      </c>
      <c r="B252" s="2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  <c r="Q252" t="str">
        <f>VLOOKUP(MasterData[[#This Row],[season]],[1]Lookup!$A$2:$B$5,2,FALSE)</f>
        <v>Spring</v>
      </c>
      <c r="R252" t="str">
        <f>TEXT(DATE(2026,E252,1),"mmmm")</f>
        <v>January</v>
      </c>
      <c r="S252" t="str">
        <f>IF(OR(H252=0,H252=6),"Weekend","Weekday")</f>
        <v>Weekday</v>
      </c>
      <c r="T252" s="1" t="str">
        <f>VLOOKUP(I252,[1]Lookup!$D$2:$E$5,2,FALSE)</f>
        <v>Light Rain / Snow</v>
      </c>
      <c r="U252" s="1" t="str">
        <f>IF(F252&lt;6,"Night",
IF(F252&lt;12,"Morning",
IF(F252&lt;17,"Afternoon",
IF(F252&lt;21,"Evening","Night"))))</f>
        <v>Evening</v>
      </c>
      <c r="V252" s="1" t="str">
        <f>IF(J252&lt;0.3,"Cold",
IF(J252&lt;0.6,"Pleasant","Hot"))</f>
        <v>Cold</v>
      </c>
      <c r="W252" s="1" t="str">
        <f>IF(L252&lt;0.4,"Low",
IF(L252&lt;0.7,"Medium","High"))</f>
        <v>High</v>
      </c>
      <c r="X252" s="1" t="str">
        <f>IF(M252&lt;0.2,"Low",
IF(M252&lt;0.4,"Medium","High"))</f>
        <v>Low</v>
      </c>
      <c r="Y252" s="1" t="str">
        <f>IF(P252&lt;100,"Low",
IF(P252&lt;300,"Medium","High"))</f>
        <v>Low</v>
      </c>
    </row>
    <row r="253" spans="1:25" x14ac:dyDescent="0.3">
      <c r="A253">
        <v>252</v>
      </c>
      <c r="B253" s="2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 t="str">
        <f>VLOOKUP(MasterData[[#This Row],[season]],[1]Lookup!$A$2:$B$5,2,FALSE)</f>
        <v>Spring</v>
      </c>
      <c r="R253" t="str">
        <f>TEXT(DATE(2026,E253,1),"mmmm")</f>
        <v>January</v>
      </c>
      <c r="S253" t="str">
        <f>IF(OR(H253=0,H253=6),"Weekend","Weekday")</f>
        <v>Weekday</v>
      </c>
      <c r="T253" s="1" t="str">
        <f>VLOOKUP(I253,[1]Lookup!$D$2:$E$5,2,FALSE)</f>
        <v>Light Rain / Snow</v>
      </c>
      <c r="U253" s="1" t="str">
        <f>IF(F253&lt;6,"Night",
IF(F253&lt;12,"Morning",
IF(F253&lt;17,"Afternoon",
IF(F253&lt;21,"Evening","Night"))))</f>
        <v>Evening</v>
      </c>
      <c r="V253" s="1" t="str">
        <f>IF(J253&lt;0.3,"Cold",
IF(J253&lt;0.6,"Pleasant","Hot"))</f>
        <v>Cold</v>
      </c>
      <c r="W253" s="1" t="str">
        <f>IF(L253&lt;0.4,"Low",
IF(L253&lt;0.7,"Medium","High"))</f>
        <v>High</v>
      </c>
      <c r="X253" s="1" t="str">
        <f>IF(M253&lt;0.2,"Low",
IF(M253&lt;0.4,"Medium","High"))</f>
        <v>Low</v>
      </c>
      <c r="Y253" s="1" t="str">
        <f>IF(P253&lt;100,"Low",
IF(P253&lt;300,"Medium","High"))</f>
        <v>Low</v>
      </c>
    </row>
    <row r="254" spans="1:25" x14ac:dyDescent="0.3">
      <c r="A254">
        <v>253</v>
      </c>
      <c r="B254" s="2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 t="str">
        <f>VLOOKUP(MasterData[[#This Row],[season]],[1]Lookup!$A$2:$B$5,2,FALSE)</f>
        <v>Spring</v>
      </c>
      <c r="R254" t="str">
        <f>TEXT(DATE(2026,E254,1),"mmmm")</f>
        <v>January</v>
      </c>
      <c r="S254" t="str">
        <f>IF(OR(H254=0,H254=6),"Weekend","Weekday")</f>
        <v>Weekday</v>
      </c>
      <c r="T254" s="1" t="str">
        <f>VLOOKUP(I254,[1]Lookup!$D$2:$E$5,2,FALSE)</f>
        <v>Light Rain / Snow</v>
      </c>
      <c r="U254" s="1" t="str">
        <f>IF(F254&lt;6,"Night",
IF(F254&lt;12,"Morning",
IF(F254&lt;17,"Afternoon",
IF(F254&lt;21,"Evening","Night"))))</f>
        <v>Night</v>
      </c>
      <c r="V254" s="1" t="str">
        <f>IF(J254&lt;0.3,"Cold",
IF(J254&lt;0.6,"Pleasant","Hot"))</f>
        <v>Cold</v>
      </c>
      <c r="W254" s="1" t="str">
        <f>IF(L254&lt;0.4,"Low",
IF(L254&lt;0.7,"Medium","High"))</f>
        <v>High</v>
      </c>
      <c r="X254" s="1" t="str">
        <f>IF(M254&lt;0.2,"Low",
IF(M254&lt;0.4,"Medium","High"))</f>
        <v>Low</v>
      </c>
      <c r="Y254" s="1" t="str">
        <f>IF(P254&lt;100,"Low",
IF(P254&lt;300,"Medium","High"))</f>
        <v>Low</v>
      </c>
    </row>
    <row r="255" spans="1:25" x14ac:dyDescent="0.3">
      <c r="A255">
        <v>254</v>
      </c>
      <c r="B255" s="2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  <c r="Q255" t="str">
        <f>VLOOKUP(MasterData[[#This Row],[season]],[1]Lookup!$A$2:$B$5,2,FALSE)</f>
        <v>Spring</v>
      </c>
      <c r="R255" t="str">
        <f>TEXT(DATE(2026,E255,1),"mmmm")</f>
        <v>January</v>
      </c>
      <c r="S255" t="str">
        <f>IF(OR(H255=0,H255=6),"Weekend","Weekday")</f>
        <v>Weekday</v>
      </c>
      <c r="T255" s="1" t="str">
        <f>VLOOKUP(I255,[1]Lookup!$D$2:$E$5,2,FALSE)</f>
        <v>Light Rain / Snow</v>
      </c>
      <c r="U255" s="1" t="str">
        <f>IF(F255&lt;6,"Night",
IF(F255&lt;12,"Morning",
IF(F255&lt;17,"Afternoon",
IF(F255&lt;21,"Evening","Night"))))</f>
        <v>Night</v>
      </c>
      <c r="V255" s="1" t="str">
        <f>IF(J255&lt;0.3,"Cold",
IF(J255&lt;0.6,"Pleasant","Hot"))</f>
        <v>Cold</v>
      </c>
      <c r="W255" s="1" t="str">
        <f>IF(L255&lt;0.4,"Low",
IF(L255&lt;0.7,"Medium","High"))</f>
        <v>High</v>
      </c>
      <c r="X255" s="1" t="str">
        <f>IF(M255&lt;0.2,"Low",
IF(M255&lt;0.4,"Medium","High"))</f>
        <v>Low</v>
      </c>
      <c r="Y255" s="1" t="str">
        <f>IF(P255&lt;100,"Low",
IF(P255&lt;300,"Medium","High"))</f>
        <v>Low</v>
      </c>
    </row>
    <row r="256" spans="1:25" x14ac:dyDescent="0.3">
      <c r="A256">
        <v>255</v>
      </c>
      <c r="B256" s="2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 t="str">
        <f>VLOOKUP(MasterData[[#This Row],[season]],[1]Lookup!$A$2:$B$5,2,FALSE)</f>
        <v>Spring</v>
      </c>
      <c r="R256" t="str">
        <f>TEXT(DATE(2026,E256,1),"mmmm")</f>
        <v>January</v>
      </c>
      <c r="S256" t="str">
        <f>IF(OR(H256=0,H256=6),"Weekend","Weekday")</f>
        <v>Weekday</v>
      </c>
      <c r="T256" s="1" t="str">
        <f>VLOOKUP(I256,[1]Lookup!$D$2:$E$5,2,FALSE)</f>
        <v>Light Rain / Snow</v>
      </c>
      <c r="U256" s="1" t="str">
        <f>IF(F256&lt;6,"Night",
IF(F256&lt;12,"Morning",
IF(F256&lt;17,"Afternoon",
IF(F256&lt;21,"Evening","Night"))))</f>
        <v>Night</v>
      </c>
      <c r="V256" s="1" t="str">
        <f>IF(J256&lt;0.3,"Cold",
IF(J256&lt;0.6,"Pleasant","Hot"))</f>
        <v>Cold</v>
      </c>
      <c r="W256" s="1" t="str">
        <f>IF(L256&lt;0.4,"Low",
IF(L256&lt;0.7,"Medium","High"))</f>
        <v>High</v>
      </c>
      <c r="X256" s="1" t="str">
        <f>IF(M256&lt;0.2,"Low",
IF(M256&lt;0.4,"Medium","High"))</f>
        <v>Low</v>
      </c>
      <c r="Y256" s="1" t="str">
        <f>IF(P256&lt;100,"Low",
IF(P256&lt;300,"Medium","High"))</f>
        <v>Low</v>
      </c>
    </row>
    <row r="257" spans="1:25" x14ac:dyDescent="0.3">
      <c r="A257">
        <v>256</v>
      </c>
      <c r="B257" s="2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 t="str">
        <f>VLOOKUP(MasterData[[#This Row],[season]],[1]Lookup!$A$2:$B$5,2,FALSE)</f>
        <v>Spring</v>
      </c>
      <c r="R257" t="str">
        <f>TEXT(DATE(2026,E257,1),"mmmm")</f>
        <v>January</v>
      </c>
      <c r="S257" t="str">
        <f>IF(OR(H257=0,H257=6),"Weekend","Weekday")</f>
        <v>Weekday</v>
      </c>
      <c r="T257" s="1" t="str">
        <f>VLOOKUP(I257,[1]Lookup!$D$2:$E$5,2,FALSE)</f>
        <v>Mist / Cloudy</v>
      </c>
      <c r="U257" s="1" t="str">
        <f>IF(F257&lt;6,"Night",
IF(F257&lt;12,"Morning",
IF(F257&lt;17,"Afternoon",
IF(F257&lt;21,"Evening","Night"))))</f>
        <v>Night</v>
      </c>
      <c r="V257" s="1" t="str">
        <f>IF(J257&lt;0.3,"Cold",
IF(J257&lt;0.6,"Pleasant","Hot"))</f>
        <v>Cold</v>
      </c>
      <c r="W257" s="1" t="str">
        <f>IF(L257&lt;0.4,"Low",
IF(L257&lt;0.7,"Medium","High"))</f>
        <v>High</v>
      </c>
      <c r="X257" s="1" t="str">
        <f>IF(M257&lt;0.2,"Low",
IF(M257&lt;0.4,"Medium","High"))</f>
        <v>Low</v>
      </c>
      <c r="Y257" s="1" t="str">
        <f>IF(P257&lt;100,"Low",
IF(P257&lt;300,"Medium","High"))</f>
        <v>Low</v>
      </c>
    </row>
    <row r="258" spans="1:25" x14ac:dyDescent="0.3">
      <c r="A258">
        <v>257</v>
      </c>
      <c r="B258" s="2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  <c r="Q258" t="str">
        <f>VLOOKUP(MasterData[[#This Row],[season]],[1]Lookup!$A$2:$B$5,2,FALSE)</f>
        <v>Spring</v>
      </c>
      <c r="R258" t="str">
        <f>TEXT(DATE(2026,E258,1),"mmmm")</f>
        <v>January</v>
      </c>
      <c r="S258" t="str">
        <f>IF(OR(H258=0,H258=6),"Weekend","Weekday")</f>
        <v>Weekday</v>
      </c>
      <c r="T258" s="1" t="str">
        <f>VLOOKUP(I258,[1]Lookup!$D$2:$E$5,2,FALSE)</f>
        <v>Mist / Cloudy</v>
      </c>
      <c r="U258" s="1" t="str">
        <f>IF(F258&lt;6,"Night",
IF(F258&lt;12,"Morning",
IF(F258&lt;17,"Afternoon",
IF(F258&lt;21,"Evening","Night"))))</f>
        <v>Night</v>
      </c>
      <c r="V258" s="1" t="str">
        <f>IF(J258&lt;0.3,"Cold",
IF(J258&lt;0.6,"Pleasant","Hot"))</f>
        <v>Cold</v>
      </c>
      <c r="W258" s="1" t="str">
        <f>IF(L258&lt;0.4,"Low",
IF(L258&lt;0.7,"Medium","High"))</f>
        <v>High</v>
      </c>
      <c r="X258" s="1" t="str">
        <f>IF(M258&lt;0.2,"Low",
IF(M258&lt;0.4,"Medium","High"))</f>
        <v>Low</v>
      </c>
      <c r="Y258" s="1" t="str">
        <f>IF(P258&lt;100,"Low",
IF(P258&lt;300,"Medium","High"))</f>
        <v>Low</v>
      </c>
    </row>
    <row r="259" spans="1:25" x14ac:dyDescent="0.3">
      <c r="A259">
        <v>258</v>
      </c>
      <c r="B259" s="2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 t="str">
        <f>VLOOKUP(MasterData[[#This Row],[season]],[1]Lookup!$A$2:$B$5,2,FALSE)</f>
        <v>Spring</v>
      </c>
      <c r="R259" t="str">
        <f>TEXT(DATE(2026,E259,1),"mmmm")</f>
        <v>January</v>
      </c>
      <c r="S259" t="str">
        <f>IF(OR(H259=0,H259=6),"Weekend","Weekday")</f>
        <v>Weekday</v>
      </c>
      <c r="T259" s="1" t="str">
        <f>VLOOKUP(I259,[1]Lookup!$D$2:$E$5,2,FALSE)</f>
        <v>Clear</v>
      </c>
      <c r="U259" s="1" t="str">
        <f>IF(F259&lt;6,"Night",
IF(F259&lt;12,"Morning",
IF(F259&lt;17,"Afternoon",
IF(F259&lt;21,"Evening","Night"))))</f>
        <v>Night</v>
      </c>
      <c r="V259" s="1" t="str">
        <f>IF(J259&lt;0.3,"Cold",
IF(J259&lt;0.6,"Pleasant","Hot"))</f>
        <v>Cold</v>
      </c>
      <c r="W259" s="1" t="str">
        <f>IF(L259&lt;0.4,"Low",
IF(L259&lt;0.7,"Medium","High"))</f>
        <v>High</v>
      </c>
      <c r="X259" s="1" t="str">
        <f>IF(M259&lt;0.2,"Low",
IF(M259&lt;0.4,"Medium","High"))</f>
        <v>Low</v>
      </c>
      <c r="Y259" s="1" t="str">
        <f>IF(P259&lt;100,"Low",
IF(P259&lt;300,"Medium","High"))</f>
        <v>Low</v>
      </c>
    </row>
    <row r="260" spans="1:25" x14ac:dyDescent="0.3">
      <c r="A260">
        <v>259</v>
      </c>
      <c r="B260" s="2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 t="str">
        <f>VLOOKUP(MasterData[[#This Row],[season]],[1]Lookup!$A$2:$B$5,2,FALSE)</f>
        <v>Spring</v>
      </c>
      <c r="R260" t="str">
        <f>TEXT(DATE(2026,E260,1),"mmmm")</f>
        <v>January</v>
      </c>
      <c r="S260" t="str">
        <f>IF(OR(H260=0,H260=6),"Weekend","Weekday")</f>
        <v>Weekday</v>
      </c>
      <c r="T260" s="1" t="str">
        <f>VLOOKUP(I260,[1]Lookup!$D$2:$E$5,2,FALSE)</f>
        <v>Clear</v>
      </c>
      <c r="U260" s="1" t="str">
        <f>IF(F260&lt;6,"Night",
IF(F260&lt;12,"Morning",
IF(F260&lt;17,"Afternoon",
IF(F260&lt;21,"Evening","Night"))))</f>
        <v>Night</v>
      </c>
      <c r="V260" s="1" t="str">
        <f>IF(J260&lt;0.3,"Cold",
IF(J260&lt;0.6,"Pleasant","Hot"))</f>
        <v>Cold</v>
      </c>
      <c r="W260" s="1" t="str">
        <f>IF(L260&lt;0.4,"Low",
IF(L260&lt;0.7,"Medium","High"))</f>
        <v>High</v>
      </c>
      <c r="X260" s="1" t="str">
        <f>IF(M260&lt;0.2,"Low",
IF(M260&lt;0.4,"Medium","High"))</f>
        <v>Low</v>
      </c>
      <c r="Y260" s="1" t="str">
        <f>IF(P260&lt;100,"Low",
IF(P260&lt;300,"Medium","High"))</f>
        <v>Low</v>
      </c>
    </row>
    <row r="261" spans="1:25" x14ac:dyDescent="0.3">
      <c r="A261">
        <v>260</v>
      </c>
      <c r="B261" s="2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 t="str">
        <f>VLOOKUP(MasterData[[#This Row],[season]],[1]Lookup!$A$2:$B$5,2,FALSE)</f>
        <v>Spring</v>
      </c>
      <c r="R261" t="str">
        <f>TEXT(DATE(2026,E261,1),"mmmm")</f>
        <v>January</v>
      </c>
      <c r="S261" t="str">
        <f>IF(OR(H261=0,H261=6),"Weekend","Weekday")</f>
        <v>Weekday</v>
      </c>
      <c r="T261" s="1" t="str">
        <f>VLOOKUP(I261,[1]Lookup!$D$2:$E$5,2,FALSE)</f>
        <v>Clear</v>
      </c>
      <c r="U261" s="1" t="str">
        <f>IF(F261&lt;6,"Night",
IF(F261&lt;12,"Morning",
IF(F261&lt;17,"Afternoon",
IF(F261&lt;21,"Evening","Night"))))</f>
        <v>Morning</v>
      </c>
      <c r="V261" s="1" t="str">
        <f>IF(J261&lt;0.3,"Cold",
IF(J261&lt;0.6,"Pleasant","Hot"))</f>
        <v>Cold</v>
      </c>
      <c r="W261" s="1" t="str">
        <f>IF(L261&lt;0.4,"Low",
IF(L261&lt;0.7,"Medium","High"))</f>
        <v>High</v>
      </c>
      <c r="X261" s="1" t="str">
        <f>IF(M261&lt;0.2,"Low",
IF(M261&lt;0.4,"Medium","High"))</f>
        <v>Low</v>
      </c>
      <c r="Y261" s="1" t="str">
        <f>IF(P261&lt;100,"Low",
IF(P261&lt;300,"Medium","High"))</f>
        <v>Low</v>
      </c>
    </row>
    <row r="262" spans="1:25" x14ac:dyDescent="0.3">
      <c r="A262">
        <v>261</v>
      </c>
      <c r="B262" s="2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  <c r="Q262" t="str">
        <f>VLOOKUP(MasterData[[#This Row],[season]],[1]Lookup!$A$2:$B$5,2,FALSE)</f>
        <v>Spring</v>
      </c>
      <c r="R262" t="str">
        <f>TEXT(DATE(2026,E262,1),"mmmm")</f>
        <v>January</v>
      </c>
      <c r="S262" t="str">
        <f>IF(OR(H262=0,H262=6),"Weekend","Weekday")</f>
        <v>Weekday</v>
      </c>
      <c r="T262" s="1" t="str">
        <f>VLOOKUP(I262,[1]Lookup!$D$2:$E$5,2,FALSE)</f>
        <v>Clear</v>
      </c>
      <c r="U262" s="1" t="str">
        <f>IF(F262&lt;6,"Night",
IF(F262&lt;12,"Morning",
IF(F262&lt;17,"Afternoon",
IF(F262&lt;21,"Evening","Night"))))</f>
        <v>Morning</v>
      </c>
      <c r="V262" s="1" t="str">
        <f>IF(J262&lt;0.3,"Cold",
IF(J262&lt;0.6,"Pleasant","Hot"))</f>
        <v>Cold</v>
      </c>
      <c r="W262" s="1" t="str">
        <f>IF(L262&lt;0.4,"Low",
IF(L262&lt;0.7,"Medium","High"))</f>
        <v>Medium</v>
      </c>
      <c r="X262" s="1" t="str">
        <f>IF(M262&lt;0.2,"Low",
IF(M262&lt;0.4,"Medium","High"))</f>
        <v>Low</v>
      </c>
      <c r="Y262" s="1" t="str">
        <f>IF(P262&lt;100,"Low",
IF(P262&lt;300,"Medium","High"))</f>
        <v>Low</v>
      </c>
    </row>
    <row r="263" spans="1:25" x14ac:dyDescent="0.3">
      <c r="A263">
        <v>262</v>
      </c>
      <c r="B263" s="2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 t="str">
        <f>VLOOKUP(MasterData[[#This Row],[season]],[1]Lookup!$A$2:$B$5,2,FALSE)</f>
        <v>Spring</v>
      </c>
      <c r="R263" t="str">
        <f>TEXT(DATE(2026,E263,1),"mmmm")</f>
        <v>January</v>
      </c>
      <c r="S263" t="str">
        <f>IF(OR(H263=0,H263=6),"Weekend","Weekday")</f>
        <v>Weekday</v>
      </c>
      <c r="T263" s="1" t="str">
        <f>VLOOKUP(I263,[1]Lookup!$D$2:$E$5,2,FALSE)</f>
        <v>Clear</v>
      </c>
      <c r="U263" s="1" t="str">
        <f>IF(F263&lt;6,"Night",
IF(F263&lt;12,"Morning",
IF(F263&lt;17,"Afternoon",
IF(F263&lt;21,"Evening","Night"))))</f>
        <v>Morning</v>
      </c>
      <c r="V263" s="1" t="str">
        <f>IF(J263&lt;0.3,"Cold",
IF(J263&lt;0.6,"Pleasant","Hot"))</f>
        <v>Cold</v>
      </c>
      <c r="W263" s="1" t="str">
        <f>IF(L263&lt;0.4,"Low",
IF(L263&lt;0.7,"Medium","High"))</f>
        <v>Medium</v>
      </c>
      <c r="X263" s="1" t="str">
        <f>IF(M263&lt;0.2,"Low",
IF(M263&lt;0.4,"Medium","High"))</f>
        <v>Low</v>
      </c>
      <c r="Y263" s="1" t="str">
        <f>IF(P263&lt;100,"Low",
IF(P263&lt;300,"Medium","High"))</f>
        <v>Medium</v>
      </c>
    </row>
    <row r="264" spans="1:25" x14ac:dyDescent="0.3">
      <c r="A264">
        <v>263</v>
      </c>
      <c r="B264" s="2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 t="str">
        <f>VLOOKUP(MasterData[[#This Row],[season]],[1]Lookup!$A$2:$B$5,2,FALSE)</f>
        <v>Spring</v>
      </c>
      <c r="R264" t="str">
        <f>TEXT(DATE(2026,E264,1),"mmmm")</f>
        <v>January</v>
      </c>
      <c r="S264" t="str">
        <f>IF(OR(H264=0,H264=6),"Weekend","Weekday")</f>
        <v>Weekday</v>
      </c>
      <c r="T264" s="1" t="str">
        <f>VLOOKUP(I264,[1]Lookup!$D$2:$E$5,2,FALSE)</f>
        <v>Clear</v>
      </c>
      <c r="U264" s="1" t="str">
        <f>IF(F264&lt;6,"Night",
IF(F264&lt;12,"Morning",
IF(F264&lt;17,"Afternoon",
IF(F264&lt;21,"Evening","Night"))))</f>
        <v>Morning</v>
      </c>
      <c r="V264" s="1" t="str">
        <f>IF(J264&lt;0.3,"Cold",
IF(J264&lt;0.6,"Pleasant","Hot"))</f>
        <v>Cold</v>
      </c>
      <c r="W264" s="1" t="str">
        <f>IF(L264&lt;0.4,"Low",
IF(L264&lt;0.7,"Medium","High"))</f>
        <v>Medium</v>
      </c>
      <c r="X264" s="1" t="str">
        <f>IF(M264&lt;0.2,"Low",
IF(M264&lt;0.4,"Medium","High"))</f>
        <v>Medium</v>
      </c>
      <c r="Y264" s="1" t="str">
        <f>IF(P264&lt;100,"Low",
IF(P264&lt;300,"Medium","High"))</f>
        <v>Low</v>
      </c>
    </row>
    <row r="265" spans="1:25" x14ac:dyDescent="0.3">
      <c r="A265">
        <v>264</v>
      </c>
      <c r="B265" s="2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 t="str">
        <f>VLOOKUP(MasterData[[#This Row],[season]],[1]Lookup!$A$2:$B$5,2,FALSE)</f>
        <v>Spring</v>
      </c>
      <c r="R265" t="str">
        <f>TEXT(DATE(2026,E265,1),"mmmm")</f>
        <v>January</v>
      </c>
      <c r="S265" t="str">
        <f>IF(OR(H265=0,H265=6),"Weekend","Weekday")</f>
        <v>Weekday</v>
      </c>
      <c r="T265" s="1" t="str">
        <f>VLOOKUP(I265,[1]Lookup!$D$2:$E$5,2,FALSE)</f>
        <v>Clear</v>
      </c>
      <c r="U265" s="1" t="str">
        <f>IF(F265&lt;6,"Night",
IF(F265&lt;12,"Morning",
IF(F265&lt;17,"Afternoon",
IF(F265&lt;21,"Evening","Night"))))</f>
        <v>Morning</v>
      </c>
      <c r="V265" s="1" t="str">
        <f>IF(J265&lt;0.3,"Cold",
IF(J265&lt;0.6,"Pleasant","Hot"))</f>
        <v>Cold</v>
      </c>
      <c r="W265" s="1" t="str">
        <f>IF(L265&lt;0.4,"Low",
IF(L265&lt;0.7,"Medium","High"))</f>
        <v>Medium</v>
      </c>
      <c r="X265" s="1" t="str">
        <f>IF(M265&lt;0.2,"Low",
IF(M265&lt;0.4,"Medium","High"))</f>
        <v>Medium</v>
      </c>
      <c r="Y265" s="1" t="str">
        <f>IF(P265&lt;100,"Low",
IF(P265&lt;300,"Medium","High"))</f>
        <v>Low</v>
      </c>
    </row>
    <row r="266" spans="1:25" x14ac:dyDescent="0.3">
      <c r="A266">
        <v>265</v>
      </c>
      <c r="B266" s="2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  <c r="Q266" t="str">
        <f>VLOOKUP(MasterData[[#This Row],[season]],[1]Lookup!$A$2:$B$5,2,FALSE)</f>
        <v>Spring</v>
      </c>
      <c r="R266" t="str">
        <f>TEXT(DATE(2026,E266,1),"mmmm")</f>
        <v>January</v>
      </c>
      <c r="S266" t="str">
        <f>IF(OR(H266=0,H266=6),"Weekend","Weekday")</f>
        <v>Weekday</v>
      </c>
      <c r="T266" s="1" t="str">
        <f>VLOOKUP(I266,[1]Lookup!$D$2:$E$5,2,FALSE)</f>
        <v>Clear</v>
      </c>
      <c r="U266" s="1" t="str">
        <f>IF(F266&lt;6,"Night",
IF(F266&lt;12,"Morning",
IF(F266&lt;17,"Afternoon",
IF(F266&lt;21,"Evening","Night"))))</f>
        <v>Morning</v>
      </c>
      <c r="V266" s="1" t="str">
        <f>IF(J266&lt;0.3,"Cold",
IF(J266&lt;0.6,"Pleasant","Hot"))</f>
        <v>Cold</v>
      </c>
      <c r="W266" s="1" t="str">
        <f>IF(L266&lt;0.4,"Low",
IF(L266&lt;0.7,"Medium","High"))</f>
        <v>Medium</v>
      </c>
      <c r="X266" s="1" t="str">
        <f>IF(M266&lt;0.2,"Low",
IF(M266&lt;0.4,"Medium","High"))</f>
        <v>Medium</v>
      </c>
      <c r="Y266" s="1" t="str">
        <f>IF(P266&lt;100,"Low",
IF(P266&lt;300,"Medium","High"))</f>
        <v>Low</v>
      </c>
    </row>
    <row r="267" spans="1:25" x14ac:dyDescent="0.3">
      <c r="A267">
        <v>266</v>
      </c>
      <c r="B267" s="2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 t="str">
        <f>VLOOKUP(MasterData[[#This Row],[season]],[1]Lookup!$A$2:$B$5,2,FALSE)</f>
        <v>Spring</v>
      </c>
      <c r="R267" t="str">
        <f>TEXT(DATE(2026,E267,1),"mmmm")</f>
        <v>January</v>
      </c>
      <c r="S267" t="str">
        <f>IF(OR(H267=0,H267=6),"Weekend","Weekday")</f>
        <v>Weekday</v>
      </c>
      <c r="T267" s="1" t="str">
        <f>VLOOKUP(I267,[1]Lookup!$D$2:$E$5,2,FALSE)</f>
        <v>Clear</v>
      </c>
      <c r="U267" s="1" t="str">
        <f>IF(F267&lt;6,"Night",
IF(F267&lt;12,"Morning",
IF(F267&lt;17,"Afternoon",
IF(F267&lt;21,"Evening","Night"))))</f>
        <v>Afternoon</v>
      </c>
      <c r="V267" s="1" t="str">
        <f>IF(J267&lt;0.3,"Cold",
IF(J267&lt;0.6,"Pleasant","Hot"))</f>
        <v>Cold</v>
      </c>
      <c r="W267" s="1" t="str">
        <f>IF(L267&lt;0.4,"Low",
IF(L267&lt;0.7,"Medium","High"))</f>
        <v>Medium</v>
      </c>
      <c r="X267" s="1" t="str">
        <f>IF(M267&lt;0.2,"Low",
IF(M267&lt;0.4,"Medium","High"))</f>
        <v>High</v>
      </c>
      <c r="Y267" s="1" t="str">
        <f>IF(P267&lt;100,"Low",
IF(P267&lt;300,"Medium","High"))</f>
        <v>Low</v>
      </c>
    </row>
    <row r="268" spans="1:25" x14ac:dyDescent="0.3">
      <c r="A268">
        <v>267</v>
      </c>
      <c r="B268" s="2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 t="str">
        <f>VLOOKUP(MasterData[[#This Row],[season]],[1]Lookup!$A$2:$B$5,2,FALSE)</f>
        <v>Spring</v>
      </c>
      <c r="R268" t="str">
        <f>TEXT(DATE(2026,E268,1),"mmmm")</f>
        <v>January</v>
      </c>
      <c r="S268" t="str">
        <f>IF(OR(H268=0,H268=6),"Weekend","Weekday")</f>
        <v>Weekday</v>
      </c>
      <c r="T268" s="1" t="str">
        <f>VLOOKUP(I268,[1]Lookup!$D$2:$E$5,2,FALSE)</f>
        <v>Clear</v>
      </c>
      <c r="U268" s="1" t="str">
        <f>IF(F268&lt;6,"Night",
IF(F268&lt;12,"Morning",
IF(F268&lt;17,"Afternoon",
IF(F268&lt;21,"Evening","Night"))))</f>
        <v>Afternoon</v>
      </c>
      <c r="V268" s="1" t="str">
        <f>IF(J268&lt;0.3,"Cold",
IF(J268&lt;0.6,"Pleasant","Hot"))</f>
        <v>Cold</v>
      </c>
      <c r="W268" s="1" t="str">
        <f>IF(L268&lt;0.4,"Low",
IF(L268&lt;0.7,"Medium","High"))</f>
        <v>Medium</v>
      </c>
      <c r="X268" s="1" t="str">
        <f>IF(M268&lt;0.2,"Low",
IF(M268&lt;0.4,"Medium","High"))</f>
        <v>Medium</v>
      </c>
      <c r="Y268" s="1" t="str">
        <f>IF(P268&lt;100,"Low",
IF(P268&lt;300,"Medium","High"))</f>
        <v>Low</v>
      </c>
    </row>
    <row r="269" spans="1:25" x14ac:dyDescent="0.3">
      <c r="A269">
        <v>268</v>
      </c>
      <c r="B269" s="2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 t="str">
        <f>VLOOKUP(MasterData[[#This Row],[season]],[1]Lookup!$A$2:$B$5,2,FALSE)</f>
        <v>Spring</v>
      </c>
      <c r="R269" t="str">
        <f>TEXT(DATE(2026,E269,1),"mmmm")</f>
        <v>January</v>
      </c>
      <c r="S269" t="str">
        <f>IF(OR(H269=0,H269=6),"Weekend","Weekday")</f>
        <v>Weekday</v>
      </c>
      <c r="T269" s="1" t="str">
        <f>VLOOKUP(I269,[1]Lookup!$D$2:$E$5,2,FALSE)</f>
        <v>Clear</v>
      </c>
      <c r="U269" s="1" t="str">
        <f>IF(F269&lt;6,"Night",
IF(F269&lt;12,"Morning",
IF(F269&lt;17,"Afternoon",
IF(F269&lt;21,"Evening","Night"))))</f>
        <v>Afternoon</v>
      </c>
      <c r="V269" s="1" t="str">
        <f>IF(J269&lt;0.3,"Cold",
IF(J269&lt;0.6,"Pleasant","Hot"))</f>
        <v>Cold</v>
      </c>
      <c r="W269" s="1" t="str">
        <f>IF(L269&lt;0.4,"Low",
IF(L269&lt;0.7,"Medium","High"))</f>
        <v>Medium</v>
      </c>
      <c r="X269" s="1" t="str">
        <f>IF(M269&lt;0.2,"Low",
IF(M269&lt;0.4,"Medium","High"))</f>
        <v>Medium</v>
      </c>
      <c r="Y269" s="1" t="str">
        <f>IF(P269&lt;100,"Low",
IF(P269&lt;300,"Medium","High"))</f>
        <v>Low</v>
      </c>
    </row>
    <row r="270" spans="1:25" x14ac:dyDescent="0.3">
      <c r="A270">
        <v>269</v>
      </c>
      <c r="B270" s="2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 t="str">
        <f>VLOOKUP(MasterData[[#This Row],[season]],[1]Lookup!$A$2:$B$5,2,FALSE)</f>
        <v>Spring</v>
      </c>
      <c r="R270" t="str">
        <f>TEXT(DATE(2026,E270,1),"mmmm")</f>
        <v>January</v>
      </c>
      <c r="S270" t="str">
        <f>IF(OR(H270=0,H270=6),"Weekend","Weekday")</f>
        <v>Weekday</v>
      </c>
      <c r="T270" s="1" t="str">
        <f>VLOOKUP(I270,[1]Lookup!$D$2:$E$5,2,FALSE)</f>
        <v>Clear</v>
      </c>
      <c r="U270" s="1" t="str">
        <f>IF(F270&lt;6,"Night",
IF(F270&lt;12,"Morning",
IF(F270&lt;17,"Afternoon",
IF(F270&lt;21,"Evening","Night"))))</f>
        <v>Afternoon</v>
      </c>
      <c r="V270" s="1" t="str">
        <f>IF(J270&lt;0.3,"Cold",
IF(J270&lt;0.6,"Pleasant","Hot"))</f>
        <v>Cold</v>
      </c>
      <c r="W270" s="1" t="str">
        <f>IF(L270&lt;0.4,"Low",
IF(L270&lt;0.7,"Medium","High"))</f>
        <v>Medium</v>
      </c>
      <c r="X270" s="1" t="str">
        <f>IF(M270&lt;0.2,"Low",
IF(M270&lt;0.4,"Medium","High"))</f>
        <v>High</v>
      </c>
      <c r="Y270" s="1" t="str">
        <f>IF(P270&lt;100,"Low",
IF(P270&lt;300,"Medium","High"))</f>
        <v>Low</v>
      </c>
    </row>
    <row r="271" spans="1:25" x14ac:dyDescent="0.3">
      <c r="A271">
        <v>270</v>
      </c>
      <c r="B271" s="2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 t="str">
        <f>VLOOKUP(MasterData[[#This Row],[season]],[1]Lookup!$A$2:$B$5,2,FALSE)</f>
        <v>Spring</v>
      </c>
      <c r="R271" t="str">
        <f>TEXT(DATE(2026,E271,1),"mmmm")</f>
        <v>January</v>
      </c>
      <c r="S271" t="str">
        <f>IF(OR(H271=0,H271=6),"Weekend","Weekday")</f>
        <v>Weekday</v>
      </c>
      <c r="T271" s="1" t="str">
        <f>VLOOKUP(I271,[1]Lookup!$D$2:$E$5,2,FALSE)</f>
        <v>Clear</v>
      </c>
      <c r="U271" s="1" t="str">
        <f>IF(F271&lt;6,"Night",
IF(F271&lt;12,"Morning",
IF(F271&lt;17,"Afternoon",
IF(F271&lt;21,"Evening","Night"))))</f>
        <v>Afternoon</v>
      </c>
      <c r="V271" s="1" t="str">
        <f>IF(J271&lt;0.3,"Cold",
IF(J271&lt;0.6,"Pleasant","Hot"))</f>
        <v>Cold</v>
      </c>
      <c r="W271" s="1" t="str">
        <f>IF(L271&lt;0.4,"Low",
IF(L271&lt;0.7,"Medium","High"))</f>
        <v>Medium</v>
      </c>
      <c r="X271" s="1" t="str">
        <f>IF(M271&lt;0.2,"Low",
IF(M271&lt;0.4,"Medium","High"))</f>
        <v>Medium</v>
      </c>
      <c r="Y271" s="1" t="str">
        <f>IF(P271&lt;100,"Low",
IF(P271&lt;300,"Medium","High"))</f>
        <v>Low</v>
      </c>
    </row>
    <row r="272" spans="1:25" x14ac:dyDescent="0.3">
      <c r="A272">
        <v>271</v>
      </c>
      <c r="B272" s="2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 t="str">
        <f>VLOOKUP(MasterData[[#This Row],[season]],[1]Lookup!$A$2:$B$5,2,FALSE)</f>
        <v>Spring</v>
      </c>
      <c r="R272" t="str">
        <f>TEXT(DATE(2026,E272,1),"mmmm")</f>
        <v>January</v>
      </c>
      <c r="S272" t="str">
        <f>IF(OR(H272=0,H272=6),"Weekend","Weekday")</f>
        <v>Weekday</v>
      </c>
      <c r="T272" s="1" t="str">
        <f>VLOOKUP(I272,[1]Lookup!$D$2:$E$5,2,FALSE)</f>
        <v>Clear</v>
      </c>
      <c r="U272" s="1" t="str">
        <f>IF(F272&lt;6,"Night",
IF(F272&lt;12,"Morning",
IF(F272&lt;17,"Afternoon",
IF(F272&lt;21,"Evening","Night"))))</f>
        <v>Evening</v>
      </c>
      <c r="V272" s="1" t="str">
        <f>IF(J272&lt;0.3,"Cold",
IF(J272&lt;0.6,"Pleasant","Hot"))</f>
        <v>Cold</v>
      </c>
      <c r="W272" s="1" t="str">
        <f>IF(L272&lt;0.4,"Low",
IF(L272&lt;0.7,"Medium","High"))</f>
        <v>Medium</v>
      </c>
      <c r="X272" s="1" t="str">
        <f>IF(M272&lt;0.2,"Low",
IF(M272&lt;0.4,"Medium","High"))</f>
        <v>Medium</v>
      </c>
      <c r="Y272" s="1" t="str">
        <f>IF(P272&lt;100,"Low",
IF(P272&lt;300,"Medium","High"))</f>
        <v>Medium</v>
      </c>
    </row>
    <row r="273" spans="1:25" x14ac:dyDescent="0.3">
      <c r="A273">
        <v>272</v>
      </c>
      <c r="B273" s="2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 t="str">
        <f>VLOOKUP(MasterData[[#This Row],[season]],[1]Lookup!$A$2:$B$5,2,FALSE)</f>
        <v>Spring</v>
      </c>
      <c r="R273" t="str">
        <f>TEXT(DATE(2026,E273,1),"mmmm")</f>
        <v>January</v>
      </c>
      <c r="S273" t="str">
        <f>IF(OR(H273=0,H273=6),"Weekend","Weekday")</f>
        <v>Weekday</v>
      </c>
      <c r="T273" s="1" t="str">
        <f>VLOOKUP(I273,[1]Lookup!$D$2:$E$5,2,FALSE)</f>
        <v>Clear</v>
      </c>
      <c r="U273" s="1" t="str">
        <f>IF(F273&lt;6,"Night",
IF(F273&lt;12,"Morning",
IF(F273&lt;17,"Afternoon",
IF(F273&lt;21,"Evening","Night"))))</f>
        <v>Evening</v>
      </c>
      <c r="V273" s="1" t="str">
        <f>IF(J273&lt;0.3,"Cold",
IF(J273&lt;0.6,"Pleasant","Hot"))</f>
        <v>Cold</v>
      </c>
      <c r="W273" s="1" t="str">
        <f>IF(L273&lt;0.4,"Low",
IF(L273&lt;0.7,"Medium","High"))</f>
        <v>Medium</v>
      </c>
      <c r="X273" s="1" t="str">
        <f>IF(M273&lt;0.2,"Low",
IF(M273&lt;0.4,"Medium","High"))</f>
        <v>High</v>
      </c>
      <c r="Y273" s="1" t="str">
        <f>IF(P273&lt;100,"Low",
IF(P273&lt;300,"Medium","High"))</f>
        <v>Medium</v>
      </c>
    </row>
    <row r="274" spans="1:25" x14ac:dyDescent="0.3">
      <c r="A274">
        <v>273</v>
      </c>
      <c r="B274" s="2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 t="str">
        <f>VLOOKUP(MasterData[[#This Row],[season]],[1]Lookup!$A$2:$B$5,2,FALSE)</f>
        <v>Spring</v>
      </c>
      <c r="R274" t="str">
        <f>TEXT(DATE(2026,E274,1),"mmmm")</f>
        <v>January</v>
      </c>
      <c r="S274" t="str">
        <f>IF(OR(H274=0,H274=6),"Weekend","Weekday")</f>
        <v>Weekday</v>
      </c>
      <c r="T274" s="1" t="str">
        <f>VLOOKUP(I274,[1]Lookup!$D$2:$E$5,2,FALSE)</f>
        <v>Clear</v>
      </c>
      <c r="U274" s="1" t="str">
        <f>IF(F274&lt;6,"Night",
IF(F274&lt;12,"Morning",
IF(F274&lt;17,"Afternoon",
IF(F274&lt;21,"Evening","Night"))))</f>
        <v>Evening</v>
      </c>
      <c r="V274" s="1" t="str">
        <f>IF(J274&lt;0.3,"Cold",
IF(J274&lt;0.6,"Pleasant","Hot"))</f>
        <v>Cold</v>
      </c>
      <c r="W274" s="1" t="str">
        <f>IF(L274&lt;0.4,"Low",
IF(L274&lt;0.7,"Medium","High"))</f>
        <v>Medium</v>
      </c>
      <c r="X274" s="1" t="str">
        <f>IF(M274&lt;0.2,"Low",
IF(M274&lt;0.4,"Medium","High"))</f>
        <v>High</v>
      </c>
      <c r="Y274" s="1" t="str">
        <f>IF(P274&lt;100,"Low",
IF(P274&lt;300,"Medium","High"))</f>
        <v>Low</v>
      </c>
    </row>
    <row r="275" spans="1:25" x14ac:dyDescent="0.3">
      <c r="A275">
        <v>274</v>
      </c>
      <c r="B275" s="2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 t="str">
        <f>VLOOKUP(MasterData[[#This Row],[season]],[1]Lookup!$A$2:$B$5,2,FALSE)</f>
        <v>Spring</v>
      </c>
      <c r="R275" t="str">
        <f>TEXT(DATE(2026,E275,1),"mmmm")</f>
        <v>January</v>
      </c>
      <c r="S275" t="str">
        <f>IF(OR(H275=0,H275=6),"Weekend","Weekday")</f>
        <v>Weekday</v>
      </c>
      <c r="T275" s="1" t="str">
        <f>VLOOKUP(I275,[1]Lookup!$D$2:$E$5,2,FALSE)</f>
        <v>Clear</v>
      </c>
      <c r="U275" s="1" t="str">
        <f>IF(F275&lt;6,"Night",
IF(F275&lt;12,"Morning",
IF(F275&lt;17,"Afternoon",
IF(F275&lt;21,"Evening","Night"))))</f>
        <v>Evening</v>
      </c>
      <c r="V275" s="1" t="str">
        <f>IF(J275&lt;0.3,"Cold",
IF(J275&lt;0.6,"Pleasant","Hot"))</f>
        <v>Cold</v>
      </c>
      <c r="W275" s="1" t="str">
        <f>IF(L275&lt;0.4,"Low",
IF(L275&lt;0.7,"Medium","High"))</f>
        <v>Medium</v>
      </c>
      <c r="X275" s="1" t="str">
        <f>IF(M275&lt;0.2,"Low",
IF(M275&lt;0.4,"Medium","High"))</f>
        <v>Medium</v>
      </c>
      <c r="Y275" s="1" t="str">
        <f>IF(P275&lt;100,"Low",
IF(P275&lt;300,"Medium","High"))</f>
        <v>Low</v>
      </c>
    </row>
    <row r="276" spans="1:25" x14ac:dyDescent="0.3">
      <c r="A276">
        <v>275</v>
      </c>
      <c r="B276" s="2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 t="str">
        <f>VLOOKUP(MasterData[[#This Row],[season]],[1]Lookup!$A$2:$B$5,2,FALSE)</f>
        <v>Spring</v>
      </c>
      <c r="R276" t="str">
        <f>TEXT(DATE(2026,E276,1),"mmmm")</f>
        <v>January</v>
      </c>
      <c r="S276" t="str">
        <f>IF(OR(H276=0,H276=6),"Weekend","Weekday")</f>
        <v>Weekday</v>
      </c>
      <c r="T276" s="1" t="str">
        <f>VLOOKUP(I276,[1]Lookup!$D$2:$E$5,2,FALSE)</f>
        <v>Clear</v>
      </c>
      <c r="U276" s="1" t="str">
        <f>IF(F276&lt;6,"Night",
IF(F276&lt;12,"Morning",
IF(F276&lt;17,"Afternoon",
IF(F276&lt;21,"Evening","Night"))))</f>
        <v>Night</v>
      </c>
      <c r="V276" s="1" t="str">
        <f>IF(J276&lt;0.3,"Cold",
IF(J276&lt;0.6,"Pleasant","Hot"))</f>
        <v>Cold</v>
      </c>
      <c r="W276" s="1" t="str">
        <f>IF(L276&lt;0.4,"Low",
IF(L276&lt;0.7,"Medium","High"))</f>
        <v>Medium</v>
      </c>
      <c r="X276" s="1" t="str">
        <f>IF(M276&lt;0.2,"Low",
IF(M276&lt;0.4,"Medium","High"))</f>
        <v>Medium</v>
      </c>
      <c r="Y276" s="1" t="str">
        <f>IF(P276&lt;100,"Low",
IF(P276&lt;300,"Medium","High"))</f>
        <v>Low</v>
      </c>
    </row>
    <row r="277" spans="1:25" x14ac:dyDescent="0.3">
      <c r="A277">
        <v>276</v>
      </c>
      <c r="B277" s="2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 t="str">
        <f>VLOOKUP(MasterData[[#This Row],[season]],[1]Lookup!$A$2:$B$5,2,FALSE)</f>
        <v>Spring</v>
      </c>
      <c r="R277" t="str">
        <f>TEXT(DATE(2026,E277,1),"mmmm")</f>
        <v>January</v>
      </c>
      <c r="S277" t="str">
        <f>IF(OR(H277=0,H277=6),"Weekend","Weekday")</f>
        <v>Weekday</v>
      </c>
      <c r="T277" s="1" t="str">
        <f>VLOOKUP(I277,[1]Lookup!$D$2:$E$5,2,FALSE)</f>
        <v>Clear</v>
      </c>
      <c r="U277" s="1" t="str">
        <f>IF(F277&lt;6,"Night",
IF(F277&lt;12,"Morning",
IF(F277&lt;17,"Afternoon",
IF(F277&lt;21,"Evening","Night"))))</f>
        <v>Night</v>
      </c>
      <c r="V277" s="1" t="str">
        <f>IF(J277&lt;0.3,"Cold",
IF(J277&lt;0.6,"Pleasant","Hot"))</f>
        <v>Cold</v>
      </c>
      <c r="W277" s="1" t="str">
        <f>IF(L277&lt;0.4,"Low",
IF(L277&lt;0.7,"Medium","High"))</f>
        <v>Medium</v>
      </c>
      <c r="X277" s="1" t="str">
        <f>IF(M277&lt;0.2,"Low",
IF(M277&lt;0.4,"Medium","High"))</f>
        <v>High</v>
      </c>
      <c r="Y277" s="1" t="str">
        <f>IF(P277&lt;100,"Low",
IF(P277&lt;300,"Medium","High"))</f>
        <v>Low</v>
      </c>
    </row>
    <row r="278" spans="1:25" x14ac:dyDescent="0.3">
      <c r="A278">
        <v>277</v>
      </c>
      <c r="B278" s="2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 t="str">
        <f>VLOOKUP(MasterData[[#This Row],[season]],[1]Lookup!$A$2:$B$5,2,FALSE)</f>
        <v>Spring</v>
      </c>
      <c r="R278" t="str">
        <f>TEXT(DATE(2026,E278,1),"mmmm")</f>
        <v>January</v>
      </c>
      <c r="S278" t="str">
        <f>IF(OR(H278=0,H278=6),"Weekend","Weekday")</f>
        <v>Weekday</v>
      </c>
      <c r="T278" s="1" t="str">
        <f>VLOOKUP(I278,[1]Lookup!$D$2:$E$5,2,FALSE)</f>
        <v>Clear</v>
      </c>
      <c r="U278" s="1" t="str">
        <f>IF(F278&lt;6,"Night",
IF(F278&lt;12,"Morning",
IF(F278&lt;17,"Afternoon",
IF(F278&lt;21,"Evening","Night"))))</f>
        <v>Night</v>
      </c>
      <c r="V278" s="1" t="str">
        <f>IF(J278&lt;0.3,"Cold",
IF(J278&lt;0.6,"Pleasant","Hot"))</f>
        <v>Cold</v>
      </c>
      <c r="W278" s="1" t="str">
        <f>IF(L278&lt;0.4,"Low",
IF(L278&lt;0.7,"Medium","High"))</f>
        <v>Medium</v>
      </c>
      <c r="X278" s="1" t="str">
        <f>IF(M278&lt;0.2,"Low",
IF(M278&lt;0.4,"Medium","High"))</f>
        <v>High</v>
      </c>
      <c r="Y278" s="1" t="str">
        <f>IF(P278&lt;100,"Low",
IF(P278&lt;300,"Medium","High"))</f>
        <v>Low</v>
      </c>
    </row>
    <row r="279" spans="1:25" x14ac:dyDescent="0.3">
      <c r="A279">
        <v>278</v>
      </c>
      <c r="B279" s="2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 t="str">
        <f>VLOOKUP(MasterData[[#This Row],[season]],[1]Lookup!$A$2:$B$5,2,FALSE)</f>
        <v>Spring</v>
      </c>
      <c r="R279" t="str">
        <f>TEXT(DATE(2026,E279,1),"mmmm")</f>
        <v>January</v>
      </c>
      <c r="S279" t="str">
        <f>IF(OR(H279=0,H279=6),"Weekend","Weekday")</f>
        <v>Weekday</v>
      </c>
      <c r="T279" s="1" t="str">
        <f>VLOOKUP(I279,[1]Lookup!$D$2:$E$5,2,FALSE)</f>
        <v>Clear</v>
      </c>
      <c r="U279" s="1" t="str">
        <f>IF(F279&lt;6,"Night",
IF(F279&lt;12,"Morning",
IF(F279&lt;17,"Afternoon",
IF(F279&lt;21,"Evening","Night"))))</f>
        <v>Night</v>
      </c>
      <c r="V279" s="1" t="str">
        <f>IF(J279&lt;0.3,"Cold",
IF(J279&lt;0.6,"Pleasant","Hot"))</f>
        <v>Cold</v>
      </c>
      <c r="W279" s="1" t="str">
        <f>IF(L279&lt;0.4,"Low",
IF(L279&lt;0.7,"Medium","High"))</f>
        <v>Medium</v>
      </c>
      <c r="X279" s="1" t="str">
        <f>IF(M279&lt;0.2,"Low",
IF(M279&lt;0.4,"Medium","High"))</f>
        <v>Medium</v>
      </c>
      <c r="Y279" s="1" t="str">
        <f>IF(P279&lt;100,"Low",
IF(P279&lt;300,"Medium","High"))</f>
        <v>Low</v>
      </c>
    </row>
    <row r="280" spans="1:25" x14ac:dyDescent="0.3">
      <c r="A280">
        <v>279</v>
      </c>
      <c r="B280" s="2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 t="str">
        <f>VLOOKUP(MasterData[[#This Row],[season]],[1]Lookup!$A$2:$B$5,2,FALSE)</f>
        <v>Spring</v>
      </c>
      <c r="R280" t="str">
        <f>TEXT(DATE(2026,E280,1),"mmmm")</f>
        <v>January</v>
      </c>
      <c r="S280" t="str">
        <f>IF(OR(H280=0,H280=6),"Weekend","Weekday")</f>
        <v>Weekday</v>
      </c>
      <c r="T280" s="1" t="str">
        <f>VLOOKUP(I280,[1]Lookup!$D$2:$E$5,2,FALSE)</f>
        <v>Clear</v>
      </c>
      <c r="U280" s="1" t="str">
        <f>IF(F280&lt;6,"Night",
IF(F280&lt;12,"Morning",
IF(F280&lt;17,"Afternoon",
IF(F280&lt;21,"Evening","Night"))))</f>
        <v>Night</v>
      </c>
      <c r="V280" s="1" t="str">
        <f>IF(J280&lt;0.3,"Cold",
IF(J280&lt;0.6,"Pleasant","Hot"))</f>
        <v>Cold</v>
      </c>
      <c r="W280" s="1" t="str">
        <f>IF(L280&lt;0.4,"Low",
IF(L280&lt;0.7,"Medium","High"))</f>
        <v>Medium</v>
      </c>
      <c r="X280" s="1" t="str">
        <f>IF(M280&lt;0.2,"Low",
IF(M280&lt;0.4,"Medium","High"))</f>
        <v>Medium</v>
      </c>
      <c r="Y280" s="1" t="str">
        <f>IF(P280&lt;100,"Low",
IF(P280&lt;300,"Medium","High"))</f>
        <v>Low</v>
      </c>
    </row>
    <row r="281" spans="1:25" x14ac:dyDescent="0.3">
      <c r="A281">
        <v>280</v>
      </c>
      <c r="B281" s="2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 t="str">
        <f>VLOOKUP(MasterData[[#This Row],[season]],[1]Lookup!$A$2:$B$5,2,FALSE)</f>
        <v>Spring</v>
      </c>
      <c r="R281" t="str">
        <f>TEXT(DATE(2026,E281,1),"mmmm")</f>
        <v>January</v>
      </c>
      <c r="S281" t="str">
        <f>IF(OR(H281=0,H281=6),"Weekend","Weekday")</f>
        <v>Weekday</v>
      </c>
      <c r="T281" s="1" t="str">
        <f>VLOOKUP(I281,[1]Lookup!$D$2:$E$5,2,FALSE)</f>
        <v>Clear</v>
      </c>
      <c r="U281" s="1" t="str">
        <f>IF(F281&lt;6,"Night",
IF(F281&lt;12,"Morning",
IF(F281&lt;17,"Afternoon",
IF(F281&lt;21,"Evening","Night"))))</f>
        <v>Night</v>
      </c>
      <c r="V281" s="1" t="str">
        <f>IF(J281&lt;0.3,"Cold",
IF(J281&lt;0.6,"Pleasant","Hot"))</f>
        <v>Cold</v>
      </c>
      <c r="W281" s="1" t="str">
        <f>IF(L281&lt;0.4,"Low",
IF(L281&lt;0.7,"Medium","High"))</f>
        <v>Medium</v>
      </c>
      <c r="X281" s="1" t="str">
        <f>IF(M281&lt;0.2,"Low",
IF(M281&lt;0.4,"Medium","High"))</f>
        <v>Medium</v>
      </c>
      <c r="Y281" s="1" t="str">
        <f>IF(P281&lt;100,"Low",
IF(P281&lt;300,"Medium","High"))</f>
        <v>Low</v>
      </c>
    </row>
    <row r="282" spans="1:25" x14ac:dyDescent="0.3">
      <c r="A282">
        <v>281</v>
      </c>
      <c r="B282" s="2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 t="str">
        <f>VLOOKUP(MasterData[[#This Row],[season]],[1]Lookup!$A$2:$B$5,2,FALSE)</f>
        <v>Spring</v>
      </c>
      <c r="R282" t="str">
        <f>TEXT(DATE(2026,E282,1),"mmmm")</f>
        <v>January</v>
      </c>
      <c r="S282" t="str">
        <f>IF(OR(H282=0,H282=6),"Weekend","Weekday")</f>
        <v>Weekday</v>
      </c>
      <c r="T282" s="1" t="str">
        <f>VLOOKUP(I282,[1]Lookup!$D$2:$E$5,2,FALSE)</f>
        <v>Clear</v>
      </c>
      <c r="U282" s="1" t="str">
        <f>IF(F282&lt;6,"Night",
IF(F282&lt;12,"Morning",
IF(F282&lt;17,"Afternoon",
IF(F282&lt;21,"Evening","Night"))))</f>
        <v>Night</v>
      </c>
      <c r="V282" s="1" t="str">
        <f>IF(J282&lt;0.3,"Cold",
IF(J282&lt;0.6,"Pleasant","Hot"))</f>
        <v>Cold</v>
      </c>
      <c r="W282" s="1" t="str">
        <f>IF(L282&lt;0.4,"Low",
IF(L282&lt;0.7,"Medium","High"))</f>
        <v>Medium</v>
      </c>
      <c r="X282" s="1" t="str">
        <f>IF(M282&lt;0.2,"Low",
IF(M282&lt;0.4,"Medium","High"))</f>
        <v>Medium</v>
      </c>
      <c r="Y282" s="1" t="str">
        <f>IF(P282&lt;100,"Low",
IF(P282&lt;300,"Medium","High"))</f>
        <v>Low</v>
      </c>
    </row>
    <row r="283" spans="1:25" x14ac:dyDescent="0.3">
      <c r="A283">
        <v>282</v>
      </c>
      <c r="B283" s="2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 t="str">
        <f>VLOOKUP(MasterData[[#This Row],[season]],[1]Lookup!$A$2:$B$5,2,FALSE)</f>
        <v>Spring</v>
      </c>
      <c r="R283" t="str">
        <f>TEXT(DATE(2026,E283,1),"mmmm")</f>
        <v>January</v>
      </c>
      <c r="S283" t="str">
        <f>IF(OR(H283=0,H283=6),"Weekend","Weekday")</f>
        <v>Weekday</v>
      </c>
      <c r="T283" s="1" t="str">
        <f>VLOOKUP(I283,[1]Lookup!$D$2:$E$5,2,FALSE)</f>
        <v>Clear</v>
      </c>
      <c r="U283" s="1" t="str">
        <f>IF(F283&lt;6,"Night",
IF(F283&lt;12,"Morning",
IF(F283&lt;17,"Afternoon",
IF(F283&lt;21,"Evening","Night"))))</f>
        <v>Night</v>
      </c>
      <c r="V283" s="1" t="str">
        <f>IF(J283&lt;0.3,"Cold",
IF(J283&lt;0.6,"Pleasant","Hot"))</f>
        <v>Cold</v>
      </c>
      <c r="W283" s="1" t="str">
        <f>IF(L283&lt;0.4,"Low",
IF(L283&lt;0.7,"Medium","High"))</f>
        <v>Medium</v>
      </c>
      <c r="X283" s="1" t="str">
        <f>IF(M283&lt;0.2,"Low",
IF(M283&lt;0.4,"Medium","High"))</f>
        <v>Medium</v>
      </c>
      <c r="Y283" s="1" t="str">
        <f>IF(P283&lt;100,"Low",
IF(P283&lt;300,"Medium","High"))</f>
        <v>Low</v>
      </c>
    </row>
    <row r="284" spans="1:25" x14ac:dyDescent="0.3">
      <c r="A284">
        <v>283</v>
      </c>
      <c r="B284" s="2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 t="str">
        <f>VLOOKUP(MasterData[[#This Row],[season]],[1]Lookup!$A$2:$B$5,2,FALSE)</f>
        <v>Spring</v>
      </c>
      <c r="R284" t="str">
        <f>TEXT(DATE(2026,E284,1),"mmmm")</f>
        <v>January</v>
      </c>
      <c r="S284" t="str">
        <f>IF(OR(H284=0,H284=6),"Weekend","Weekday")</f>
        <v>Weekday</v>
      </c>
      <c r="T284" s="1" t="str">
        <f>VLOOKUP(I284,[1]Lookup!$D$2:$E$5,2,FALSE)</f>
        <v>Clear</v>
      </c>
      <c r="U284" s="1" t="str">
        <f>IF(F284&lt;6,"Night",
IF(F284&lt;12,"Morning",
IF(F284&lt;17,"Afternoon",
IF(F284&lt;21,"Evening","Night"))))</f>
        <v>Night</v>
      </c>
      <c r="V284" s="1" t="str">
        <f>IF(J284&lt;0.3,"Cold",
IF(J284&lt;0.6,"Pleasant","Hot"))</f>
        <v>Cold</v>
      </c>
      <c r="W284" s="1" t="str">
        <f>IF(L284&lt;0.4,"Low",
IF(L284&lt;0.7,"Medium","High"))</f>
        <v>Medium</v>
      </c>
      <c r="X284" s="1" t="str">
        <f>IF(M284&lt;0.2,"Low",
IF(M284&lt;0.4,"Medium","High"))</f>
        <v>Medium</v>
      </c>
      <c r="Y284" s="1" t="str">
        <f>IF(P284&lt;100,"Low",
IF(P284&lt;300,"Medium","High"))</f>
        <v>Low</v>
      </c>
    </row>
    <row r="285" spans="1:25" x14ac:dyDescent="0.3">
      <c r="A285">
        <v>284</v>
      </c>
      <c r="B285" s="2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 t="str">
        <f>VLOOKUP(MasterData[[#This Row],[season]],[1]Lookup!$A$2:$B$5,2,FALSE)</f>
        <v>Spring</v>
      </c>
      <c r="R285" t="str">
        <f>TEXT(DATE(2026,E285,1),"mmmm")</f>
        <v>January</v>
      </c>
      <c r="S285" t="str">
        <f>IF(OR(H285=0,H285=6),"Weekend","Weekday")</f>
        <v>Weekday</v>
      </c>
      <c r="T285" s="1" t="str">
        <f>VLOOKUP(I285,[1]Lookup!$D$2:$E$5,2,FALSE)</f>
        <v>Clear</v>
      </c>
      <c r="U285" s="1" t="str">
        <f>IF(F285&lt;6,"Night",
IF(F285&lt;12,"Morning",
IF(F285&lt;17,"Afternoon",
IF(F285&lt;21,"Evening","Night"))))</f>
        <v>Morning</v>
      </c>
      <c r="V285" s="1" t="str">
        <f>IF(J285&lt;0.3,"Cold",
IF(J285&lt;0.6,"Pleasant","Hot"))</f>
        <v>Cold</v>
      </c>
      <c r="W285" s="1" t="str">
        <f>IF(L285&lt;0.4,"Low",
IF(L285&lt;0.7,"Medium","High"))</f>
        <v>Medium</v>
      </c>
      <c r="X285" s="1" t="str">
        <f>IF(M285&lt;0.2,"Low",
IF(M285&lt;0.4,"Medium","High"))</f>
        <v>Low</v>
      </c>
      <c r="Y285" s="1" t="str">
        <f>IF(P285&lt;100,"Low",
IF(P285&lt;300,"Medium","High"))</f>
        <v>Low</v>
      </c>
    </row>
    <row r="286" spans="1:25" x14ac:dyDescent="0.3">
      <c r="A286">
        <v>285</v>
      </c>
      <c r="B286" s="2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  <c r="Q286" t="str">
        <f>VLOOKUP(MasterData[[#This Row],[season]],[1]Lookup!$A$2:$B$5,2,FALSE)</f>
        <v>Spring</v>
      </c>
      <c r="R286" t="str">
        <f>TEXT(DATE(2026,E286,1),"mmmm")</f>
        <v>January</v>
      </c>
      <c r="S286" t="str">
        <f>IF(OR(H286=0,H286=6),"Weekend","Weekday")</f>
        <v>Weekday</v>
      </c>
      <c r="T286" s="1" t="str">
        <f>VLOOKUP(I286,[1]Lookup!$D$2:$E$5,2,FALSE)</f>
        <v>Clear</v>
      </c>
      <c r="U286" s="1" t="str">
        <f>IF(F286&lt;6,"Night",
IF(F286&lt;12,"Morning",
IF(F286&lt;17,"Afternoon",
IF(F286&lt;21,"Evening","Night"))))</f>
        <v>Morning</v>
      </c>
      <c r="V286" s="1" t="str">
        <f>IF(J286&lt;0.3,"Cold",
IF(J286&lt;0.6,"Pleasant","Hot"))</f>
        <v>Cold</v>
      </c>
      <c r="W286" s="1" t="str">
        <f>IF(L286&lt;0.4,"Low",
IF(L286&lt;0.7,"Medium","High"))</f>
        <v>Medium</v>
      </c>
      <c r="X286" s="1" t="str">
        <f>IF(M286&lt;0.2,"Low",
IF(M286&lt;0.4,"Medium","High"))</f>
        <v>Low</v>
      </c>
      <c r="Y286" s="1" t="str">
        <f>IF(P286&lt;100,"Low",
IF(P286&lt;300,"Medium","High"))</f>
        <v>Low</v>
      </c>
    </row>
    <row r="287" spans="1:25" x14ac:dyDescent="0.3">
      <c r="A287">
        <v>286</v>
      </c>
      <c r="B287" s="2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 t="str">
        <f>VLOOKUP(MasterData[[#This Row],[season]],[1]Lookup!$A$2:$B$5,2,FALSE)</f>
        <v>Spring</v>
      </c>
      <c r="R287" t="str">
        <f>TEXT(DATE(2026,E287,1),"mmmm")</f>
        <v>January</v>
      </c>
      <c r="S287" t="str">
        <f>IF(OR(H287=0,H287=6),"Weekend","Weekday")</f>
        <v>Weekday</v>
      </c>
      <c r="T287" s="1" t="str">
        <f>VLOOKUP(I287,[1]Lookup!$D$2:$E$5,2,FALSE)</f>
        <v>Clear</v>
      </c>
      <c r="U287" s="1" t="str">
        <f>IF(F287&lt;6,"Night",
IF(F287&lt;12,"Morning",
IF(F287&lt;17,"Afternoon",
IF(F287&lt;21,"Evening","Night"))))</f>
        <v>Morning</v>
      </c>
      <c r="V287" s="1" t="str">
        <f>IF(J287&lt;0.3,"Cold",
IF(J287&lt;0.6,"Pleasant","Hot"))</f>
        <v>Cold</v>
      </c>
      <c r="W287" s="1" t="str">
        <f>IF(L287&lt;0.4,"Low",
IF(L287&lt;0.7,"Medium","High"))</f>
        <v>Medium</v>
      </c>
      <c r="X287" s="1" t="str">
        <f>IF(M287&lt;0.2,"Low",
IF(M287&lt;0.4,"Medium","High"))</f>
        <v>Low</v>
      </c>
      <c r="Y287" s="1" t="str">
        <f>IF(P287&lt;100,"Low",
IF(P287&lt;300,"Medium","High"))</f>
        <v>Medium</v>
      </c>
    </row>
    <row r="288" spans="1:25" x14ac:dyDescent="0.3">
      <c r="A288">
        <v>287</v>
      </c>
      <c r="B288" s="2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 t="str">
        <f>VLOOKUP(MasterData[[#This Row],[season]],[1]Lookup!$A$2:$B$5,2,FALSE)</f>
        <v>Spring</v>
      </c>
      <c r="R288" t="str">
        <f>TEXT(DATE(2026,E288,1),"mmmm")</f>
        <v>January</v>
      </c>
      <c r="S288" t="str">
        <f>IF(OR(H288=0,H288=6),"Weekend","Weekday")</f>
        <v>Weekday</v>
      </c>
      <c r="T288" s="1" t="str">
        <f>VLOOKUP(I288,[1]Lookup!$D$2:$E$5,2,FALSE)</f>
        <v>Clear</v>
      </c>
      <c r="U288" s="1" t="str">
        <f>IF(F288&lt;6,"Night",
IF(F288&lt;12,"Morning",
IF(F288&lt;17,"Afternoon",
IF(F288&lt;21,"Evening","Night"))))</f>
        <v>Morning</v>
      </c>
      <c r="V288" s="1" t="str">
        <f>IF(J288&lt;0.3,"Cold",
IF(J288&lt;0.6,"Pleasant","Hot"))</f>
        <v>Cold</v>
      </c>
      <c r="W288" s="1" t="str">
        <f>IF(L288&lt;0.4,"Low",
IF(L288&lt;0.7,"Medium","High"))</f>
        <v>Medium</v>
      </c>
      <c r="X288" s="1" t="str">
        <f>IF(M288&lt;0.2,"Low",
IF(M288&lt;0.4,"Medium","High"))</f>
        <v>Medium</v>
      </c>
      <c r="Y288" s="1" t="str">
        <f>IF(P288&lt;100,"Low",
IF(P288&lt;300,"Medium","High"))</f>
        <v>Medium</v>
      </c>
    </row>
    <row r="289" spans="1:25" x14ac:dyDescent="0.3">
      <c r="A289">
        <v>288</v>
      </c>
      <c r="B289" s="2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 t="str">
        <f>VLOOKUP(MasterData[[#This Row],[season]],[1]Lookup!$A$2:$B$5,2,FALSE)</f>
        <v>Spring</v>
      </c>
      <c r="R289" t="str">
        <f>TEXT(DATE(2026,E289,1),"mmmm")</f>
        <v>January</v>
      </c>
      <c r="S289" t="str">
        <f>IF(OR(H289=0,H289=6),"Weekend","Weekday")</f>
        <v>Weekday</v>
      </c>
      <c r="T289" s="1" t="str">
        <f>VLOOKUP(I289,[1]Lookup!$D$2:$E$5,2,FALSE)</f>
        <v>Mist / Cloudy</v>
      </c>
      <c r="U289" s="1" t="str">
        <f>IF(F289&lt;6,"Night",
IF(F289&lt;12,"Morning",
IF(F289&lt;17,"Afternoon",
IF(F289&lt;21,"Evening","Night"))))</f>
        <v>Morning</v>
      </c>
      <c r="V289" s="1" t="str">
        <f>IF(J289&lt;0.3,"Cold",
IF(J289&lt;0.6,"Pleasant","Hot"))</f>
        <v>Cold</v>
      </c>
      <c r="W289" s="1" t="str">
        <f>IF(L289&lt;0.4,"Low",
IF(L289&lt;0.7,"Medium","High"))</f>
        <v>Medium</v>
      </c>
      <c r="X289" s="1" t="str">
        <f>IF(M289&lt;0.2,"Low",
IF(M289&lt;0.4,"Medium","High"))</f>
        <v>Medium</v>
      </c>
      <c r="Y289" s="1" t="str">
        <f>IF(P289&lt;100,"Low",
IF(P289&lt;300,"Medium","High"))</f>
        <v>Low</v>
      </c>
    </row>
    <row r="290" spans="1:25" x14ac:dyDescent="0.3">
      <c r="A290">
        <v>289</v>
      </c>
      <c r="B290" s="2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 t="str">
        <f>VLOOKUP(MasterData[[#This Row],[season]],[1]Lookup!$A$2:$B$5,2,FALSE)</f>
        <v>Spring</v>
      </c>
      <c r="R290" t="str">
        <f>TEXT(DATE(2026,E290,1),"mmmm")</f>
        <v>January</v>
      </c>
      <c r="S290" t="str">
        <f>IF(OR(H290=0,H290=6),"Weekend","Weekday")</f>
        <v>Weekday</v>
      </c>
      <c r="T290" s="1" t="str">
        <f>VLOOKUP(I290,[1]Lookup!$D$2:$E$5,2,FALSE)</f>
        <v>Mist / Cloudy</v>
      </c>
      <c r="U290" s="1" t="str">
        <f>IF(F290&lt;6,"Night",
IF(F290&lt;12,"Morning",
IF(F290&lt;17,"Afternoon",
IF(F290&lt;21,"Evening","Night"))))</f>
        <v>Morning</v>
      </c>
      <c r="V290" s="1" t="str">
        <f>IF(J290&lt;0.3,"Cold",
IF(J290&lt;0.6,"Pleasant","Hot"))</f>
        <v>Cold</v>
      </c>
      <c r="W290" s="1" t="str">
        <f>IF(L290&lt;0.4,"Low",
IF(L290&lt;0.7,"Medium","High"))</f>
        <v>Medium</v>
      </c>
      <c r="X290" s="1" t="str">
        <f>IF(M290&lt;0.2,"Low",
IF(M290&lt;0.4,"Medium","High"))</f>
        <v>High</v>
      </c>
      <c r="Y290" s="1" t="str">
        <f>IF(P290&lt;100,"Low",
IF(P290&lt;300,"Medium","High"))</f>
        <v>Low</v>
      </c>
    </row>
    <row r="291" spans="1:25" x14ac:dyDescent="0.3">
      <c r="A291">
        <v>290</v>
      </c>
      <c r="B291" s="2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 t="str">
        <f>VLOOKUP(MasterData[[#This Row],[season]],[1]Lookup!$A$2:$B$5,2,FALSE)</f>
        <v>Spring</v>
      </c>
      <c r="R291" t="str">
        <f>TEXT(DATE(2026,E291,1),"mmmm")</f>
        <v>January</v>
      </c>
      <c r="S291" t="str">
        <f>IF(OR(H291=0,H291=6),"Weekend","Weekday")</f>
        <v>Weekday</v>
      </c>
      <c r="T291" s="1" t="str">
        <f>VLOOKUP(I291,[1]Lookup!$D$2:$E$5,2,FALSE)</f>
        <v>Clear</v>
      </c>
      <c r="U291" s="1" t="str">
        <f>IF(F291&lt;6,"Night",
IF(F291&lt;12,"Morning",
IF(F291&lt;17,"Afternoon",
IF(F291&lt;21,"Evening","Night"))))</f>
        <v>Afternoon</v>
      </c>
      <c r="V291" s="1" t="str">
        <f>IF(J291&lt;0.3,"Cold",
IF(J291&lt;0.6,"Pleasant","Hot"))</f>
        <v>Cold</v>
      </c>
      <c r="W291" s="1" t="str">
        <f>IF(L291&lt;0.4,"Low",
IF(L291&lt;0.7,"Medium","High"))</f>
        <v>Medium</v>
      </c>
      <c r="X291" s="1" t="str">
        <f>IF(M291&lt;0.2,"Low",
IF(M291&lt;0.4,"Medium","High"))</f>
        <v>High</v>
      </c>
      <c r="Y291" s="1" t="str">
        <f>IF(P291&lt;100,"Low",
IF(P291&lt;300,"Medium","High"))</f>
        <v>Low</v>
      </c>
    </row>
    <row r="292" spans="1:25" x14ac:dyDescent="0.3">
      <c r="A292">
        <v>291</v>
      </c>
      <c r="B292" s="2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 t="str">
        <f>VLOOKUP(MasterData[[#This Row],[season]],[1]Lookup!$A$2:$B$5,2,FALSE)</f>
        <v>Spring</v>
      </c>
      <c r="R292" t="str">
        <f>TEXT(DATE(2026,E292,1),"mmmm")</f>
        <v>January</v>
      </c>
      <c r="S292" t="str">
        <f>IF(OR(H292=0,H292=6),"Weekend","Weekday")</f>
        <v>Weekday</v>
      </c>
      <c r="T292" s="1" t="str">
        <f>VLOOKUP(I292,[1]Lookup!$D$2:$E$5,2,FALSE)</f>
        <v>Clear</v>
      </c>
      <c r="U292" s="1" t="str">
        <f>IF(F292&lt;6,"Night",
IF(F292&lt;12,"Morning",
IF(F292&lt;17,"Afternoon",
IF(F292&lt;21,"Evening","Night"))))</f>
        <v>Afternoon</v>
      </c>
      <c r="V292" s="1" t="str">
        <f>IF(J292&lt;0.3,"Cold",
IF(J292&lt;0.6,"Pleasant","Hot"))</f>
        <v>Cold</v>
      </c>
      <c r="W292" s="1" t="str">
        <f>IF(L292&lt;0.4,"Low",
IF(L292&lt;0.7,"Medium","High"))</f>
        <v>Medium</v>
      </c>
      <c r="X292" s="1" t="str">
        <f>IF(M292&lt;0.2,"Low",
IF(M292&lt;0.4,"Medium","High"))</f>
        <v>High</v>
      </c>
      <c r="Y292" s="1" t="str">
        <f>IF(P292&lt;100,"Low",
IF(P292&lt;300,"Medium","High"))</f>
        <v>Low</v>
      </c>
    </row>
    <row r="293" spans="1:25" x14ac:dyDescent="0.3">
      <c r="A293">
        <v>292</v>
      </c>
      <c r="B293" s="2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 t="str">
        <f>VLOOKUP(MasterData[[#This Row],[season]],[1]Lookup!$A$2:$B$5,2,FALSE)</f>
        <v>Spring</v>
      </c>
      <c r="R293" t="str">
        <f>TEXT(DATE(2026,E293,1),"mmmm")</f>
        <v>January</v>
      </c>
      <c r="S293" t="str">
        <f>IF(OR(H293=0,H293=6),"Weekend","Weekday")</f>
        <v>Weekday</v>
      </c>
      <c r="T293" s="1" t="str">
        <f>VLOOKUP(I293,[1]Lookup!$D$2:$E$5,2,FALSE)</f>
        <v>Clear</v>
      </c>
      <c r="U293" s="1" t="str">
        <f>IF(F293&lt;6,"Night",
IF(F293&lt;12,"Morning",
IF(F293&lt;17,"Afternoon",
IF(F293&lt;21,"Evening","Night"))))</f>
        <v>Afternoon</v>
      </c>
      <c r="V293" s="1" t="str">
        <f>IF(J293&lt;0.3,"Cold",
IF(J293&lt;0.6,"Pleasant","Hot"))</f>
        <v>Cold</v>
      </c>
      <c r="W293" s="1" t="str">
        <f>IF(L293&lt;0.4,"Low",
IF(L293&lt;0.7,"Medium","High"))</f>
        <v>Medium</v>
      </c>
      <c r="X293" s="1" t="str">
        <f>IF(M293&lt;0.2,"Low",
IF(M293&lt;0.4,"Medium","High"))</f>
        <v>Medium</v>
      </c>
      <c r="Y293" s="1" t="str">
        <f>IF(P293&lt;100,"Low",
IF(P293&lt;300,"Medium","High"))</f>
        <v>Low</v>
      </c>
    </row>
    <row r="294" spans="1:25" x14ac:dyDescent="0.3">
      <c r="A294">
        <v>293</v>
      </c>
      <c r="B294" s="2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 t="str">
        <f>VLOOKUP(MasterData[[#This Row],[season]],[1]Lookup!$A$2:$B$5,2,FALSE)</f>
        <v>Spring</v>
      </c>
      <c r="R294" t="str">
        <f>TEXT(DATE(2026,E294,1),"mmmm")</f>
        <v>January</v>
      </c>
      <c r="S294" t="str">
        <f>IF(OR(H294=0,H294=6),"Weekend","Weekday")</f>
        <v>Weekday</v>
      </c>
      <c r="T294" s="1" t="str">
        <f>VLOOKUP(I294,[1]Lookup!$D$2:$E$5,2,FALSE)</f>
        <v>Clear</v>
      </c>
      <c r="U294" s="1" t="str">
        <f>IF(F294&lt;6,"Night",
IF(F294&lt;12,"Morning",
IF(F294&lt;17,"Afternoon",
IF(F294&lt;21,"Evening","Night"))))</f>
        <v>Afternoon</v>
      </c>
      <c r="V294" s="1" t="str">
        <f>IF(J294&lt;0.3,"Cold",
IF(J294&lt;0.6,"Pleasant","Hot"))</f>
        <v>Cold</v>
      </c>
      <c r="W294" s="1" t="str">
        <f>IF(L294&lt;0.4,"Low",
IF(L294&lt;0.7,"Medium","High"))</f>
        <v>Low</v>
      </c>
      <c r="X294" s="1" t="str">
        <f>IF(M294&lt;0.2,"Low",
IF(M294&lt;0.4,"Medium","High"))</f>
        <v>Medium</v>
      </c>
      <c r="Y294" s="1" t="str">
        <f>IF(P294&lt;100,"Low",
IF(P294&lt;300,"Medium","High"))</f>
        <v>Low</v>
      </c>
    </row>
    <row r="295" spans="1:25" x14ac:dyDescent="0.3">
      <c r="A295">
        <v>294</v>
      </c>
      <c r="B295" s="2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 t="str">
        <f>VLOOKUP(MasterData[[#This Row],[season]],[1]Lookup!$A$2:$B$5,2,FALSE)</f>
        <v>Spring</v>
      </c>
      <c r="R295" t="str">
        <f>TEXT(DATE(2026,E295,1),"mmmm")</f>
        <v>January</v>
      </c>
      <c r="S295" t="str">
        <f>IF(OR(H295=0,H295=6),"Weekend","Weekday")</f>
        <v>Weekday</v>
      </c>
      <c r="T295" s="1" t="str">
        <f>VLOOKUP(I295,[1]Lookup!$D$2:$E$5,2,FALSE)</f>
        <v>Clear</v>
      </c>
      <c r="U295" s="1" t="str">
        <f>IF(F295&lt;6,"Night",
IF(F295&lt;12,"Morning",
IF(F295&lt;17,"Afternoon",
IF(F295&lt;21,"Evening","Night"))))</f>
        <v>Afternoon</v>
      </c>
      <c r="V295" s="1" t="str">
        <f>IF(J295&lt;0.3,"Cold",
IF(J295&lt;0.6,"Pleasant","Hot"))</f>
        <v>Cold</v>
      </c>
      <c r="W295" s="1" t="str">
        <f>IF(L295&lt;0.4,"Low",
IF(L295&lt;0.7,"Medium","High"))</f>
        <v>Low</v>
      </c>
      <c r="X295" s="1" t="str">
        <f>IF(M295&lt;0.2,"Low",
IF(M295&lt;0.4,"Medium","High"))</f>
        <v>Medium</v>
      </c>
      <c r="Y295" s="1" t="str">
        <f>IF(P295&lt;100,"Low",
IF(P295&lt;300,"Medium","High"))</f>
        <v>Low</v>
      </c>
    </row>
    <row r="296" spans="1:25" x14ac:dyDescent="0.3">
      <c r="A296">
        <v>295</v>
      </c>
      <c r="B296" s="2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 t="str">
        <f>VLOOKUP(MasterData[[#This Row],[season]],[1]Lookup!$A$2:$B$5,2,FALSE)</f>
        <v>Spring</v>
      </c>
      <c r="R296" t="str">
        <f>TEXT(DATE(2026,E296,1),"mmmm")</f>
        <v>January</v>
      </c>
      <c r="S296" t="str">
        <f>IF(OR(H296=0,H296=6),"Weekend","Weekday")</f>
        <v>Weekday</v>
      </c>
      <c r="T296" s="1" t="str">
        <f>VLOOKUP(I296,[1]Lookup!$D$2:$E$5,2,FALSE)</f>
        <v>Clear</v>
      </c>
      <c r="U296" s="1" t="str">
        <f>IF(F296&lt;6,"Night",
IF(F296&lt;12,"Morning",
IF(F296&lt;17,"Afternoon",
IF(F296&lt;21,"Evening","Night"))))</f>
        <v>Evening</v>
      </c>
      <c r="V296" s="1" t="str">
        <f>IF(J296&lt;0.3,"Cold",
IF(J296&lt;0.6,"Pleasant","Hot"))</f>
        <v>Cold</v>
      </c>
      <c r="W296" s="1" t="str">
        <f>IF(L296&lt;0.4,"Low",
IF(L296&lt;0.7,"Medium","High"))</f>
        <v>Medium</v>
      </c>
      <c r="X296" s="1" t="str">
        <f>IF(M296&lt;0.2,"Low",
IF(M296&lt;0.4,"Medium","High"))</f>
        <v>Medium</v>
      </c>
      <c r="Y296" s="1" t="str">
        <f>IF(P296&lt;100,"Low",
IF(P296&lt;300,"Medium","High"))</f>
        <v>Medium</v>
      </c>
    </row>
    <row r="297" spans="1:25" x14ac:dyDescent="0.3">
      <c r="A297">
        <v>296</v>
      </c>
      <c r="B297" s="2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 t="str">
        <f>VLOOKUP(MasterData[[#This Row],[season]],[1]Lookup!$A$2:$B$5,2,FALSE)</f>
        <v>Spring</v>
      </c>
      <c r="R297" t="str">
        <f>TEXT(DATE(2026,E297,1),"mmmm")</f>
        <v>January</v>
      </c>
      <c r="S297" t="str">
        <f>IF(OR(H297=0,H297=6),"Weekend","Weekday")</f>
        <v>Weekday</v>
      </c>
      <c r="T297" s="1" t="str">
        <f>VLOOKUP(I297,[1]Lookup!$D$2:$E$5,2,FALSE)</f>
        <v>Clear</v>
      </c>
      <c r="U297" s="1" t="str">
        <f>IF(F297&lt;6,"Night",
IF(F297&lt;12,"Morning",
IF(F297&lt;17,"Afternoon",
IF(F297&lt;21,"Evening","Night"))))</f>
        <v>Evening</v>
      </c>
      <c r="V297" s="1" t="str">
        <f>IF(J297&lt;0.3,"Cold",
IF(J297&lt;0.6,"Pleasant","Hot"))</f>
        <v>Cold</v>
      </c>
      <c r="W297" s="1" t="str">
        <f>IF(L297&lt;0.4,"Low",
IF(L297&lt;0.7,"Medium","High"))</f>
        <v>Medium</v>
      </c>
      <c r="X297" s="1" t="str">
        <f>IF(M297&lt;0.2,"Low",
IF(M297&lt;0.4,"Medium","High"))</f>
        <v>Medium</v>
      </c>
      <c r="Y297" s="1" t="str">
        <f>IF(P297&lt;100,"Low",
IF(P297&lt;300,"Medium","High"))</f>
        <v>Medium</v>
      </c>
    </row>
    <row r="298" spans="1:25" x14ac:dyDescent="0.3">
      <c r="A298">
        <v>297</v>
      </c>
      <c r="B298" s="2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 t="str">
        <f>VLOOKUP(MasterData[[#This Row],[season]],[1]Lookup!$A$2:$B$5,2,FALSE)</f>
        <v>Spring</v>
      </c>
      <c r="R298" t="str">
        <f>TEXT(DATE(2026,E298,1),"mmmm")</f>
        <v>January</v>
      </c>
      <c r="S298" t="str">
        <f>IF(OR(H298=0,H298=6),"Weekend","Weekday")</f>
        <v>Weekday</v>
      </c>
      <c r="T298" s="1" t="str">
        <f>VLOOKUP(I298,[1]Lookup!$D$2:$E$5,2,FALSE)</f>
        <v>Clear</v>
      </c>
      <c r="U298" s="1" t="str">
        <f>IF(F298&lt;6,"Night",
IF(F298&lt;12,"Morning",
IF(F298&lt;17,"Afternoon",
IF(F298&lt;21,"Evening","Night"))))</f>
        <v>Evening</v>
      </c>
      <c r="V298" s="1" t="str">
        <f>IF(J298&lt;0.3,"Cold",
IF(J298&lt;0.6,"Pleasant","Hot"))</f>
        <v>Cold</v>
      </c>
      <c r="W298" s="1" t="str">
        <f>IF(L298&lt;0.4,"Low",
IF(L298&lt;0.7,"Medium","High"))</f>
        <v>Medium</v>
      </c>
      <c r="X298" s="1" t="str">
        <f>IF(M298&lt;0.2,"Low",
IF(M298&lt;0.4,"Medium","High"))</f>
        <v>Medium</v>
      </c>
      <c r="Y298" s="1" t="str">
        <f>IF(P298&lt;100,"Low",
IF(P298&lt;300,"Medium","High"))</f>
        <v>Low</v>
      </c>
    </row>
    <row r="299" spans="1:25" x14ac:dyDescent="0.3">
      <c r="A299">
        <v>298</v>
      </c>
      <c r="B299" s="2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 t="str">
        <f>VLOOKUP(MasterData[[#This Row],[season]],[1]Lookup!$A$2:$B$5,2,FALSE)</f>
        <v>Spring</v>
      </c>
      <c r="R299" t="str">
        <f>TEXT(DATE(2026,E299,1),"mmmm")</f>
        <v>January</v>
      </c>
      <c r="S299" t="str">
        <f>IF(OR(H299=0,H299=6),"Weekend","Weekday")</f>
        <v>Weekday</v>
      </c>
      <c r="T299" s="1" t="str">
        <f>VLOOKUP(I299,[1]Lookup!$D$2:$E$5,2,FALSE)</f>
        <v>Clear</v>
      </c>
      <c r="U299" s="1" t="str">
        <f>IF(F299&lt;6,"Night",
IF(F299&lt;12,"Morning",
IF(F299&lt;17,"Afternoon",
IF(F299&lt;21,"Evening","Night"))))</f>
        <v>Evening</v>
      </c>
      <c r="V299" s="1" t="str">
        <f>IF(J299&lt;0.3,"Cold",
IF(J299&lt;0.6,"Pleasant","Hot"))</f>
        <v>Cold</v>
      </c>
      <c r="W299" s="1" t="str">
        <f>IF(L299&lt;0.4,"Low",
IF(L299&lt;0.7,"Medium","High"))</f>
        <v>Medium</v>
      </c>
      <c r="X299" s="1" t="str">
        <f>IF(M299&lt;0.2,"Low",
IF(M299&lt;0.4,"Medium","High"))</f>
        <v>Medium</v>
      </c>
      <c r="Y299" s="1" t="str">
        <f>IF(P299&lt;100,"Low",
IF(P299&lt;300,"Medium","High"))</f>
        <v>Low</v>
      </c>
    </row>
    <row r="300" spans="1:25" x14ac:dyDescent="0.3">
      <c r="A300">
        <v>299</v>
      </c>
      <c r="B300" s="2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 t="str">
        <f>VLOOKUP(MasterData[[#This Row],[season]],[1]Lookup!$A$2:$B$5,2,FALSE)</f>
        <v>Spring</v>
      </c>
      <c r="R300" t="str">
        <f>TEXT(DATE(2026,E300,1),"mmmm")</f>
        <v>January</v>
      </c>
      <c r="S300" t="str">
        <f>IF(OR(H300=0,H300=6),"Weekend","Weekday")</f>
        <v>Weekday</v>
      </c>
      <c r="T300" s="1" t="str">
        <f>VLOOKUP(I300,[1]Lookup!$D$2:$E$5,2,FALSE)</f>
        <v>Clear</v>
      </c>
      <c r="U300" s="1" t="str">
        <f>IF(F300&lt;6,"Night",
IF(F300&lt;12,"Morning",
IF(F300&lt;17,"Afternoon",
IF(F300&lt;21,"Evening","Night"))))</f>
        <v>Night</v>
      </c>
      <c r="V300" s="1" t="str">
        <f>IF(J300&lt;0.3,"Cold",
IF(J300&lt;0.6,"Pleasant","Hot"))</f>
        <v>Cold</v>
      </c>
      <c r="W300" s="1" t="str">
        <f>IF(L300&lt;0.4,"Low",
IF(L300&lt;0.7,"Medium","High"))</f>
        <v>Medium</v>
      </c>
      <c r="X300" s="1" t="str">
        <f>IF(M300&lt;0.2,"Low",
IF(M300&lt;0.4,"Medium","High"))</f>
        <v>Medium</v>
      </c>
      <c r="Y300" s="1" t="str">
        <f>IF(P300&lt;100,"Low",
IF(P300&lt;300,"Medium","High"))</f>
        <v>Low</v>
      </c>
    </row>
    <row r="301" spans="1:25" x14ac:dyDescent="0.3">
      <c r="A301">
        <v>300</v>
      </c>
      <c r="B301" s="2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 t="str">
        <f>VLOOKUP(MasterData[[#This Row],[season]],[1]Lookup!$A$2:$B$5,2,FALSE)</f>
        <v>Spring</v>
      </c>
      <c r="R301" t="str">
        <f>TEXT(DATE(2026,E301,1),"mmmm")</f>
        <v>January</v>
      </c>
      <c r="S301" t="str">
        <f>IF(OR(H301=0,H301=6),"Weekend","Weekday")</f>
        <v>Weekday</v>
      </c>
      <c r="T301" s="1" t="str">
        <f>VLOOKUP(I301,[1]Lookup!$D$2:$E$5,2,FALSE)</f>
        <v>Clear</v>
      </c>
      <c r="U301" s="1" t="str">
        <f>IF(F301&lt;6,"Night",
IF(F301&lt;12,"Morning",
IF(F301&lt;17,"Afternoon",
IF(F301&lt;21,"Evening","Night"))))</f>
        <v>Night</v>
      </c>
      <c r="V301" s="1" t="str">
        <f>IF(J301&lt;0.3,"Cold",
IF(J301&lt;0.6,"Pleasant","Hot"))</f>
        <v>Cold</v>
      </c>
      <c r="W301" s="1" t="str">
        <f>IF(L301&lt;0.4,"Low",
IF(L301&lt;0.7,"Medium","High"))</f>
        <v>Medium</v>
      </c>
      <c r="X301" s="1" t="str">
        <f>IF(M301&lt;0.2,"Low",
IF(M301&lt;0.4,"Medium","High"))</f>
        <v>Medium</v>
      </c>
      <c r="Y301" s="1" t="str">
        <f>IF(P301&lt;100,"Low",
IF(P301&lt;300,"Medium","High"))</f>
        <v>Low</v>
      </c>
    </row>
    <row r="302" spans="1:25" x14ac:dyDescent="0.3">
      <c r="A302">
        <v>301</v>
      </c>
      <c r="B302" s="2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 t="str">
        <f>VLOOKUP(MasterData[[#This Row],[season]],[1]Lookup!$A$2:$B$5,2,FALSE)</f>
        <v>Spring</v>
      </c>
      <c r="R302" t="str">
        <f>TEXT(DATE(2026,E302,1),"mmmm")</f>
        <v>January</v>
      </c>
      <c r="S302" t="str">
        <f>IF(OR(H302=0,H302=6),"Weekend","Weekday")</f>
        <v>Weekday</v>
      </c>
      <c r="T302" s="1" t="str">
        <f>VLOOKUP(I302,[1]Lookup!$D$2:$E$5,2,FALSE)</f>
        <v>Clear</v>
      </c>
      <c r="U302" s="1" t="str">
        <f>IF(F302&lt;6,"Night",
IF(F302&lt;12,"Morning",
IF(F302&lt;17,"Afternoon",
IF(F302&lt;21,"Evening","Night"))))</f>
        <v>Night</v>
      </c>
      <c r="V302" s="1" t="str">
        <f>IF(J302&lt;0.3,"Cold",
IF(J302&lt;0.6,"Pleasant","Hot"))</f>
        <v>Cold</v>
      </c>
      <c r="W302" s="1" t="str">
        <f>IF(L302&lt;0.4,"Low",
IF(L302&lt;0.7,"Medium","High"))</f>
        <v>Medium</v>
      </c>
      <c r="X302" s="1" t="str">
        <f>IF(M302&lt;0.2,"Low",
IF(M302&lt;0.4,"Medium","High"))</f>
        <v>Low</v>
      </c>
      <c r="Y302" s="1" t="str">
        <f>IF(P302&lt;100,"Low",
IF(P302&lt;300,"Medium","High"))</f>
        <v>Low</v>
      </c>
    </row>
    <row r="303" spans="1:25" x14ac:dyDescent="0.3">
      <c r="A303">
        <v>302</v>
      </c>
      <c r="B303" s="2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 t="str">
        <f>VLOOKUP(MasterData[[#This Row],[season]],[1]Lookup!$A$2:$B$5,2,FALSE)</f>
        <v>Spring</v>
      </c>
      <c r="R303" t="str">
        <f>TEXT(DATE(2026,E303,1),"mmmm")</f>
        <v>January</v>
      </c>
      <c r="S303" t="str">
        <f>IF(OR(H303=0,H303=6),"Weekend","Weekday")</f>
        <v>Weekday</v>
      </c>
      <c r="T303" s="1" t="str">
        <f>VLOOKUP(I303,[1]Lookup!$D$2:$E$5,2,FALSE)</f>
        <v>Clear</v>
      </c>
      <c r="U303" s="1" t="str">
        <f>IF(F303&lt;6,"Night",
IF(F303&lt;12,"Morning",
IF(F303&lt;17,"Afternoon",
IF(F303&lt;21,"Evening","Night"))))</f>
        <v>Night</v>
      </c>
      <c r="V303" s="1" t="str">
        <f>IF(J303&lt;0.3,"Cold",
IF(J303&lt;0.6,"Pleasant","Hot"))</f>
        <v>Cold</v>
      </c>
      <c r="W303" s="1" t="str">
        <f>IF(L303&lt;0.4,"Low",
IF(L303&lt;0.7,"Medium","High"))</f>
        <v>Medium</v>
      </c>
      <c r="X303" s="1" t="str">
        <f>IF(M303&lt;0.2,"Low",
IF(M303&lt;0.4,"Medium","High"))</f>
        <v>Low</v>
      </c>
      <c r="Y303" s="1" t="str">
        <f>IF(P303&lt;100,"Low",
IF(P303&lt;300,"Medium","High"))</f>
        <v>Low</v>
      </c>
    </row>
    <row r="304" spans="1:25" x14ac:dyDescent="0.3">
      <c r="A304">
        <v>303</v>
      </c>
      <c r="B304" s="2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 t="str">
        <f>VLOOKUP(MasterData[[#This Row],[season]],[1]Lookup!$A$2:$B$5,2,FALSE)</f>
        <v>Spring</v>
      </c>
      <c r="R304" t="str">
        <f>TEXT(DATE(2026,E304,1),"mmmm")</f>
        <v>January</v>
      </c>
      <c r="S304" t="str">
        <f>IF(OR(H304=0,H304=6),"Weekend","Weekday")</f>
        <v>Weekday</v>
      </c>
      <c r="T304" s="1" t="str">
        <f>VLOOKUP(I304,[1]Lookup!$D$2:$E$5,2,FALSE)</f>
        <v>Clear</v>
      </c>
      <c r="U304" s="1" t="str">
        <f>IF(F304&lt;6,"Night",
IF(F304&lt;12,"Morning",
IF(F304&lt;17,"Afternoon",
IF(F304&lt;21,"Evening","Night"))))</f>
        <v>Night</v>
      </c>
      <c r="V304" s="1" t="str">
        <f>IF(J304&lt;0.3,"Cold",
IF(J304&lt;0.6,"Pleasant","Hot"))</f>
        <v>Cold</v>
      </c>
      <c r="W304" s="1" t="str">
        <f>IF(L304&lt;0.4,"Low",
IF(L304&lt;0.7,"Medium","High"))</f>
        <v>Medium</v>
      </c>
      <c r="X304" s="1" t="str">
        <f>IF(M304&lt;0.2,"Low",
IF(M304&lt;0.4,"Medium","High"))</f>
        <v>Low</v>
      </c>
      <c r="Y304" s="1" t="str">
        <f>IF(P304&lt;100,"Low",
IF(P304&lt;300,"Medium","High"))</f>
        <v>Low</v>
      </c>
    </row>
    <row r="305" spans="1:25" x14ac:dyDescent="0.3">
      <c r="A305">
        <v>304</v>
      </c>
      <c r="B305" s="2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  <c r="Q305" t="str">
        <f>VLOOKUP(MasterData[[#This Row],[season]],[1]Lookup!$A$2:$B$5,2,FALSE)</f>
        <v>Spring</v>
      </c>
      <c r="R305" t="str">
        <f>TEXT(DATE(2026,E305,1),"mmmm")</f>
        <v>January</v>
      </c>
      <c r="S305" t="str">
        <f>IF(OR(H305=0,H305=6),"Weekend","Weekday")</f>
        <v>Weekday</v>
      </c>
      <c r="T305" s="1" t="str">
        <f>VLOOKUP(I305,[1]Lookup!$D$2:$E$5,2,FALSE)</f>
        <v>Clear</v>
      </c>
      <c r="U305" s="1" t="str">
        <f>IF(F305&lt;6,"Night",
IF(F305&lt;12,"Morning",
IF(F305&lt;17,"Afternoon",
IF(F305&lt;21,"Evening","Night"))))</f>
        <v>Night</v>
      </c>
      <c r="V305" s="1" t="str">
        <f>IF(J305&lt;0.3,"Cold",
IF(J305&lt;0.6,"Pleasant","Hot"))</f>
        <v>Cold</v>
      </c>
      <c r="W305" s="1" t="str">
        <f>IF(L305&lt;0.4,"Low",
IF(L305&lt;0.7,"Medium","High"))</f>
        <v>Medium</v>
      </c>
      <c r="X305" s="1" t="str">
        <f>IF(M305&lt;0.2,"Low",
IF(M305&lt;0.4,"Medium","High"))</f>
        <v>Low</v>
      </c>
      <c r="Y305" s="1" t="str">
        <f>IF(P305&lt;100,"Low",
IF(P305&lt;300,"Medium","High"))</f>
        <v>Low</v>
      </c>
    </row>
    <row r="306" spans="1:25" x14ac:dyDescent="0.3">
      <c r="A306">
        <v>305</v>
      </c>
      <c r="B306" s="2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 t="str">
        <f>VLOOKUP(MasterData[[#This Row],[season]],[1]Lookup!$A$2:$B$5,2,FALSE)</f>
        <v>Spring</v>
      </c>
      <c r="R306" t="str">
        <f>TEXT(DATE(2026,E306,1),"mmmm")</f>
        <v>January</v>
      </c>
      <c r="S306" t="str">
        <f>IF(OR(H306=0,H306=6),"Weekend","Weekday")</f>
        <v>Weekday</v>
      </c>
      <c r="T306" s="1" t="str">
        <f>VLOOKUP(I306,[1]Lookup!$D$2:$E$5,2,FALSE)</f>
        <v>Clear</v>
      </c>
      <c r="U306" s="1" t="str">
        <f>IF(F306&lt;6,"Night",
IF(F306&lt;12,"Morning",
IF(F306&lt;17,"Afternoon",
IF(F306&lt;21,"Evening","Night"))))</f>
        <v>Night</v>
      </c>
      <c r="V306" s="1" t="str">
        <f>IF(J306&lt;0.3,"Cold",
IF(J306&lt;0.6,"Pleasant","Hot"))</f>
        <v>Cold</v>
      </c>
      <c r="W306" s="1" t="str">
        <f>IF(L306&lt;0.4,"Low",
IF(L306&lt;0.7,"Medium","High"))</f>
        <v>Medium</v>
      </c>
      <c r="X306" s="1" t="str">
        <f>IF(M306&lt;0.2,"Low",
IF(M306&lt;0.4,"Medium","High"))</f>
        <v>Low</v>
      </c>
      <c r="Y306" s="1" t="str">
        <f>IF(P306&lt;100,"Low",
IF(P306&lt;300,"Medium","High"))</f>
        <v>Low</v>
      </c>
    </row>
    <row r="307" spans="1:25" x14ac:dyDescent="0.3">
      <c r="A307">
        <v>306</v>
      </c>
      <c r="B307" s="2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 t="str">
        <f>VLOOKUP(MasterData[[#This Row],[season]],[1]Lookup!$A$2:$B$5,2,FALSE)</f>
        <v>Spring</v>
      </c>
      <c r="R307" t="str">
        <f>TEXT(DATE(2026,E307,1),"mmmm")</f>
        <v>January</v>
      </c>
      <c r="S307" t="str">
        <f>IF(OR(H307=0,H307=6),"Weekend","Weekday")</f>
        <v>Weekday</v>
      </c>
      <c r="T307" s="1" t="str">
        <f>VLOOKUP(I307,[1]Lookup!$D$2:$E$5,2,FALSE)</f>
        <v>Clear</v>
      </c>
      <c r="U307" s="1" t="str">
        <f>IF(F307&lt;6,"Night",
IF(F307&lt;12,"Morning",
IF(F307&lt;17,"Afternoon",
IF(F307&lt;21,"Evening","Night"))))</f>
        <v>Night</v>
      </c>
      <c r="V307" s="1" t="str">
        <f>IF(J307&lt;0.3,"Cold",
IF(J307&lt;0.6,"Pleasant","Hot"))</f>
        <v>Cold</v>
      </c>
      <c r="W307" s="1" t="str">
        <f>IF(L307&lt;0.4,"Low",
IF(L307&lt;0.7,"Medium","High"))</f>
        <v>Medium</v>
      </c>
      <c r="X307" s="1" t="str">
        <f>IF(M307&lt;0.2,"Low",
IF(M307&lt;0.4,"Medium","High"))</f>
        <v>Low</v>
      </c>
      <c r="Y307" s="1" t="str">
        <f>IF(P307&lt;100,"Low",
IF(P307&lt;300,"Medium","High"))</f>
        <v>Low</v>
      </c>
    </row>
    <row r="308" spans="1:25" x14ac:dyDescent="0.3">
      <c r="A308">
        <v>307</v>
      </c>
      <c r="B308" s="2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  <c r="Q308" t="str">
        <f>VLOOKUP(MasterData[[#This Row],[season]],[1]Lookup!$A$2:$B$5,2,FALSE)</f>
        <v>Spring</v>
      </c>
      <c r="R308" t="str">
        <f>TEXT(DATE(2026,E308,1),"mmmm")</f>
        <v>January</v>
      </c>
      <c r="S308" t="str">
        <f>IF(OR(H308=0,H308=6),"Weekend","Weekday")</f>
        <v>Weekday</v>
      </c>
      <c r="T308" s="1" t="str">
        <f>VLOOKUP(I308,[1]Lookup!$D$2:$E$5,2,FALSE)</f>
        <v>Clear</v>
      </c>
      <c r="U308" s="1" t="str">
        <f>IF(F308&lt;6,"Night",
IF(F308&lt;12,"Morning",
IF(F308&lt;17,"Afternoon",
IF(F308&lt;21,"Evening","Night"))))</f>
        <v>Morning</v>
      </c>
      <c r="V308" s="1" t="str">
        <f>IF(J308&lt;0.3,"Cold",
IF(J308&lt;0.6,"Pleasant","Hot"))</f>
        <v>Cold</v>
      </c>
      <c r="W308" s="1" t="str">
        <f>IF(L308&lt;0.4,"Low",
IF(L308&lt;0.7,"Medium","High"))</f>
        <v>Medium</v>
      </c>
      <c r="X308" s="1" t="str">
        <f>IF(M308&lt;0.2,"Low",
IF(M308&lt;0.4,"Medium","High"))</f>
        <v>Low</v>
      </c>
      <c r="Y308" s="1" t="str">
        <f>IF(P308&lt;100,"Low",
IF(P308&lt;300,"Medium","High"))</f>
        <v>Low</v>
      </c>
    </row>
    <row r="309" spans="1:25" x14ac:dyDescent="0.3">
      <c r="A309">
        <v>308</v>
      </c>
      <c r="B309" s="2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 t="str">
        <f>VLOOKUP(MasterData[[#This Row],[season]],[1]Lookup!$A$2:$B$5,2,FALSE)</f>
        <v>Spring</v>
      </c>
      <c r="R309" t="str">
        <f>TEXT(DATE(2026,E309,1),"mmmm")</f>
        <v>January</v>
      </c>
      <c r="S309" t="str">
        <f>IF(OR(H309=0,H309=6),"Weekend","Weekday")</f>
        <v>Weekday</v>
      </c>
      <c r="T309" s="1" t="str">
        <f>VLOOKUP(I309,[1]Lookup!$D$2:$E$5,2,FALSE)</f>
        <v>Clear</v>
      </c>
      <c r="U309" s="1" t="str">
        <f>IF(F309&lt;6,"Night",
IF(F309&lt;12,"Morning",
IF(F309&lt;17,"Afternoon",
IF(F309&lt;21,"Evening","Night"))))</f>
        <v>Morning</v>
      </c>
      <c r="V309" s="1" t="str">
        <f>IF(J309&lt;0.3,"Cold",
IF(J309&lt;0.6,"Pleasant","Hot"))</f>
        <v>Cold</v>
      </c>
      <c r="W309" s="1" t="str">
        <f>IF(L309&lt;0.4,"Low",
IF(L309&lt;0.7,"Medium","High"))</f>
        <v>High</v>
      </c>
      <c r="X309" s="1" t="str">
        <f>IF(M309&lt;0.2,"Low",
IF(M309&lt;0.4,"Medium","High"))</f>
        <v>Low</v>
      </c>
      <c r="Y309" s="1" t="str">
        <f>IF(P309&lt;100,"Low",
IF(P309&lt;300,"Medium","High"))</f>
        <v>Low</v>
      </c>
    </row>
    <row r="310" spans="1:25" x14ac:dyDescent="0.3">
      <c r="A310">
        <v>309</v>
      </c>
      <c r="B310" s="2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  <c r="Q310" t="str">
        <f>VLOOKUP(MasterData[[#This Row],[season]],[1]Lookup!$A$2:$B$5,2,FALSE)</f>
        <v>Spring</v>
      </c>
      <c r="R310" t="str">
        <f>TEXT(DATE(2026,E310,1),"mmmm")</f>
        <v>January</v>
      </c>
      <c r="S310" t="str">
        <f>IF(OR(H310=0,H310=6),"Weekend","Weekday")</f>
        <v>Weekday</v>
      </c>
      <c r="T310" s="1" t="str">
        <f>VLOOKUP(I310,[1]Lookup!$D$2:$E$5,2,FALSE)</f>
        <v>Clear</v>
      </c>
      <c r="U310" s="1" t="str">
        <f>IF(F310&lt;6,"Night",
IF(F310&lt;12,"Morning",
IF(F310&lt;17,"Afternoon",
IF(F310&lt;21,"Evening","Night"))))</f>
        <v>Morning</v>
      </c>
      <c r="V310" s="1" t="str">
        <f>IF(J310&lt;0.3,"Cold",
IF(J310&lt;0.6,"Pleasant","Hot"))</f>
        <v>Cold</v>
      </c>
      <c r="W310" s="1" t="str">
        <f>IF(L310&lt;0.4,"Low",
IF(L310&lt;0.7,"Medium","High"))</f>
        <v>Medium</v>
      </c>
      <c r="X310" s="1" t="str">
        <f>IF(M310&lt;0.2,"Low",
IF(M310&lt;0.4,"Medium","High"))</f>
        <v>Low</v>
      </c>
      <c r="Y310" s="1" t="str">
        <f>IF(P310&lt;100,"Low",
IF(P310&lt;300,"Medium","High"))</f>
        <v>Medium</v>
      </c>
    </row>
    <row r="311" spans="1:25" x14ac:dyDescent="0.3">
      <c r="A311">
        <v>310</v>
      </c>
      <c r="B311" s="2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 t="str">
        <f>VLOOKUP(MasterData[[#This Row],[season]],[1]Lookup!$A$2:$B$5,2,FALSE)</f>
        <v>Spring</v>
      </c>
      <c r="R311" t="str">
        <f>TEXT(DATE(2026,E311,1),"mmmm")</f>
        <v>January</v>
      </c>
      <c r="S311" t="str">
        <f>IF(OR(H311=0,H311=6),"Weekend","Weekday")</f>
        <v>Weekday</v>
      </c>
      <c r="T311" s="1" t="str">
        <f>VLOOKUP(I311,[1]Lookup!$D$2:$E$5,2,FALSE)</f>
        <v>Clear</v>
      </c>
      <c r="U311" s="1" t="str">
        <f>IF(F311&lt;6,"Night",
IF(F311&lt;12,"Morning",
IF(F311&lt;17,"Afternoon",
IF(F311&lt;21,"Evening","Night"))))</f>
        <v>Morning</v>
      </c>
      <c r="V311" s="1" t="str">
        <f>IF(J311&lt;0.3,"Cold",
IF(J311&lt;0.6,"Pleasant","Hot"))</f>
        <v>Cold</v>
      </c>
      <c r="W311" s="1" t="str">
        <f>IF(L311&lt;0.4,"Low",
IF(L311&lt;0.7,"Medium","High"))</f>
        <v>Medium</v>
      </c>
      <c r="X311" s="1" t="str">
        <f>IF(M311&lt;0.2,"Low",
IF(M311&lt;0.4,"Medium","High"))</f>
        <v>Low</v>
      </c>
      <c r="Y311" s="1" t="str">
        <f>IF(P311&lt;100,"Low",
IF(P311&lt;300,"Medium","High"))</f>
        <v>Medium</v>
      </c>
    </row>
    <row r="312" spans="1:25" x14ac:dyDescent="0.3">
      <c r="A312">
        <v>311</v>
      </c>
      <c r="B312" s="2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 t="str">
        <f>VLOOKUP(MasterData[[#This Row],[season]],[1]Lookup!$A$2:$B$5,2,FALSE)</f>
        <v>Spring</v>
      </c>
      <c r="R312" t="str">
        <f>TEXT(DATE(2026,E312,1),"mmmm")</f>
        <v>January</v>
      </c>
      <c r="S312" t="str">
        <f>IF(OR(H312=0,H312=6),"Weekend","Weekday")</f>
        <v>Weekday</v>
      </c>
      <c r="T312" s="1" t="str">
        <f>VLOOKUP(I312,[1]Lookup!$D$2:$E$5,2,FALSE)</f>
        <v>Clear</v>
      </c>
      <c r="U312" s="1" t="str">
        <f>IF(F312&lt;6,"Night",
IF(F312&lt;12,"Morning",
IF(F312&lt;17,"Afternoon",
IF(F312&lt;21,"Evening","Night"))))</f>
        <v>Morning</v>
      </c>
      <c r="V312" s="1" t="str">
        <f>IF(J312&lt;0.3,"Cold",
IF(J312&lt;0.6,"Pleasant","Hot"))</f>
        <v>Cold</v>
      </c>
      <c r="W312" s="1" t="str">
        <f>IF(L312&lt;0.4,"Low",
IF(L312&lt;0.7,"Medium","High"))</f>
        <v>Medium</v>
      </c>
      <c r="X312" s="1" t="str">
        <f>IF(M312&lt;0.2,"Low",
IF(M312&lt;0.4,"Medium","High"))</f>
        <v>Low</v>
      </c>
      <c r="Y312" s="1" t="str">
        <f>IF(P312&lt;100,"Low",
IF(P312&lt;300,"Medium","High"))</f>
        <v>Low</v>
      </c>
    </row>
    <row r="313" spans="1:25" x14ac:dyDescent="0.3">
      <c r="A313">
        <v>312</v>
      </c>
      <c r="B313" s="2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 t="str">
        <f>VLOOKUP(MasterData[[#This Row],[season]],[1]Lookup!$A$2:$B$5,2,FALSE)</f>
        <v>Spring</v>
      </c>
      <c r="R313" t="str">
        <f>TEXT(DATE(2026,E313,1),"mmmm")</f>
        <v>January</v>
      </c>
      <c r="S313" t="str">
        <f>IF(OR(H313=0,H313=6),"Weekend","Weekday")</f>
        <v>Weekday</v>
      </c>
      <c r="T313" s="1" t="str">
        <f>VLOOKUP(I313,[1]Lookup!$D$2:$E$5,2,FALSE)</f>
        <v>Clear</v>
      </c>
      <c r="U313" s="1" t="str">
        <f>IF(F313&lt;6,"Night",
IF(F313&lt;12,"Morning",
IF(F313&lt;17,"Afternoon",
IF(F313&lt;21,"Evening","Night"))))</f>
        <v>Morning</v>
      </c>
      <c r="V313" s="1" t="str">
        <f>IF(J313&lt;0.3,"Cold",
IF(J313&lt;0.6,"Pleasant","Hot"))</f>
        <v>Cold</v>
      </c>
      <c r="W313" s="1" t="str">
        <f>IF(L313&lt;0.4,"Low",
IF(L313&lt;0.7,"Medium","High"))</f>
        <v>Medium</v>
      </c>
      <c r="X313" s="1" t="str">
        <f>IF(M313&lt;0.2,"Low",
IF(M313&lt;0.4,"Medium","High"))</f>
        <v>Medium</v>
      </c>
      <c r="Y313" s="1" t="str">
        <f>IF(P313&lt;100,"Low",
IF(P313&lt;300,"Medium","High"))</f>
        <v>Low</v>
      </c>
    </row>
    <row r="314" spans="1:25" x14ac:dyDescent="0.3">
      <c r="A314">
        <v>313</v>
      </c>
      <c r="B314" s="2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 t="str">
        <f>VLOOKUP(MasterData[[#This Row],[season]],[1]Lookup!$A$2:$B$5,2,FALSE)</f>
        <v>Spring</v>
      </c>
      <c r="R314" t="str">
        <f>TEXT(DATE(2026,E314,1),"mmmm")</f>
        <v>January</v>
      </c>
      <c r="S314" t="str">
        <f>IF(OR(H314=0,H314=6),"Weekend","Weekday")</f>
        <v>Weekday</v>
      </c>
      <c r="T314" s="1" t="str">
        <f>VLOOKUP(I314,[1]Lookup!$D$2:$E$5,2,FALSE)</f>
        <v>Clear</v>
      </c>
      <c r="U314" s="1" t="str">
        <f>IF(F314&lt;6,"Night",
IF(F314&lt;12,"Morning",
IF(F314&lt;17,"Afternoon",
IF(F314&lt;21,"Evening","Night"))))</f>
        <v>Afternoon</v>
      </c>
      <c r="V314" s="1" t="str">
        <f>IF(J314&lt;0.3,"Cold",
IF(J314&lt;0.6,"Pleasant","Hot"))</f>
        <v>Cold</v>
      </c>
      <c r="W314" s="1" t="str">
        <f>IF(L314&lt;0.4,"Low",
IF(L314&lt;0.7,"Medium","High"))</f>
        <v>Medium</v>
      </c>
      <c r="X314" s="1" t="str">
        <f>IF(M314&lt;0.2,"Low",
IF(M314&lt;0.4,"Medium","High"))</f>
        <v>Medium</v>
      </c>
      <c r="Y314" s="1" t="str">
        <f>IF(P314&lt;100,"Low",
IF(P314&lt;300,"Medium","High"))</f>
        <v>Low</v>
      </c>
    </row>
    <row r="315" spans="1:25" x14ac:dyDescent="0.3">
      <c r="A315">
        <v>314</v>
      </c>
      <c r="B315" s="2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 t="str">
        <f>VLOOKUP(MasterData[[#This Row],[season]],[1]Lookup!$A$2:$B$5,2,FALSE)</f>
        <v>Spring</v>
      </c>
      <c r="R315" t="str">
        <f>TEXT(DATE(2026,E315,1),"mmmm")</f>
        <v>January</v>
      </c>
      <c r="S315" t="str">
        <f>IF(OR(H315=0,H315=6),"Weekend","Weekday")</f>
        <v>Weekday</v>
      </c>
      <c r="T315" s="1" t="str">
        <f>VLOOKUP(I315,[1]Lookup!$D$2:$E$5,2,FALSE)</f>
        <v>Clear</v>
      </c>
      <c r="U315" s="1" t="str">
        <f>IF(F315&lt;6,"Night",
IF(F315&lt;12,"Morning",
IF(F315&lt;17,"Afternoon",
IF(F315&lt;21,"Evening","Night"))))</f>
        <v>Afternoon</v>
      </c>
      <c r="V315" s="1" t="str">
        <f>IF(J315&lt;0.3,"Cold",
IF(J315&lt;0.6,"Pleasant","Hot"))</f>
        <v>Cold</v>
      </c>
      <c r="W315" s="1" t="str">
        <f>IF(L315&lt;0.4,"Low",
IF(L315&lt;0.7,"Medium","High"))</f>
        <v>Low</v>
      </c>
      <c r="X315" s="1" t="str">
        <f>IF(M315&lt;0.2,"Low",
IF(M315&lt;0.4,"Medium","High"))</f>
        <v>Medium</v>
      </c>
      <c r="Y315" s="1" t="str">
        <f>IF(P315&lt;100,"Low",
IF(P315&lt;300,"Medium","High"))</f>
        <v>Low</v>
      </c>
    </row>
    <row r="316" spans="1:25" x14ac:dyDescent="0.3">
      <c r="A316">
        <v>315</v>
      </c>
      <c r="B316" s="2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 t="str">
        <f>VLOOKUP(MasterData[[#This Row],[season]],[1]Lookup!$A$2:$B$5,2,FALSE)</f>
        <v>Spring</v>
      </c>
      <c r="R316" t="str">
        <f>TEXT(DATE(2026,E316,1),"mmmm")</f>
        <v>January</v>
      </c>
      <c r="S316" t="str">
        <f>IF(OR(H316=0,H316=6),"Weekend","Weekday")</f>
        <v>Weekday</v>
      </c>
      <c r="T316" s="1" t="str">
        <f>VLOOKUP(I316,[1]Lookup!$D$2:$E$5,2,FALSE)</f>
        <v>Clear</v>
      </c>
      <c r="U316" s="1" t="str">
        <f>IF(F316&lt;6,"Night",
IF(F316&lt;12,"Morning",
IF(F316&lt;17,"Afternoon",
IF(F316&lt;21,"Evening","Night"))))</f>
        <v>Afternoon</v>
      </c>
      <c r="V316" s="1" t="str">
        <f>IF(J316&lt;0.3,"Cold",
IF(J316&lt;0.6,"Pleasant","Hot"))</f>
        <v>Cold</v>
      </c>
      <c r="W316" s="1" t="str">
        <f>IF(L316&lt;0.4,"Low",
IF(L316&lt;0.7,"Medium","High"))</f>
        <v>Medium</v>
      </c>
      <c r="X316" s="1" t="str">
        <f>IF(M316&lt;0.2,"Low",
IF(M316&lt;0.4,"Medium","High"))</f>
        <v>Medium</v>
      </c>
      <c r="Y316" s="1" t="str">
        <f>IF(P316&lt;100,"Low",
IF(P316&lt;300,"Medium","High"))</f>
        <v>Low</v>
      </c>
    </row>
    <row r="317" spans="1:25" x14ac:dyDescent="0.3">
      <c r="A317">
        <v>316</v>
      </c>
      <c r="B317" s="2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 t="str">
        <f>VLOOKUP(MasterData[[#This Row],[season]],[1]Lookup!$A$2:$B$5,2,FALSE)</f>
        <v>Spring</v>
      </c>
      <c r="R317" t="str">
        <f>TEXT(DATE(2026,E317,1),"mmmm")</f>
        <v>January</v>
      </c>
      <c r="S317" t="str">
        <f>IF(OR(H317=0,H317=6),"Weekend","Weekday")</f>
        <v>Weekday</v>
      </c>
      <c r="T317" s="1" t="str">
        <f>VLOOKUP(I317,[1]Lookup!$D$2:$E$5,2,FALSE)</f>
        <v>Clear</v>
      </c>
      <c r="U317" s="1" t="str">
        <f>IF(F317&lt;6,"Night",
IF(F317&lt;12,"Morning",
IF(F317&lt;17,"Afternoon",
IF(F317&lt;21,"Evening","Night"))))</f>
        <v>Afternoon</v>
      </c>
      <c r="V317" s="1" t="str">
        <f>IF(J317&lt;0.3,"Cold",
IF(J317&lt;0.6,"Pleasant","Hot"))</f>
        <v>Cold</v>
      </c>
      <c r="W317" s="1" t="str">
        <f>IF(L317&lt;0.4,"Low",
IF(L317&lt;0.7,"Medium","High"))</f>
        <v>Low</v>
      </c>
      <c r="X317" s="1" t="str">
        <f>IF(M317&lt;0.2,"Low",
IF(M317&lt;0.4,"Medium","High"))</f>
        <v>Low</v>
      </c>
      <c r="Y317" s="1" t="str">
        <f>IF(P317&lt;100,"Low",
IF(P317&lt;300,"Medium","High"))</f>
        <v>Low</v>
      </c>
    </row>
    <row r="318" spans="1:25" x14ac:dyDescent="0.3">
      <c r="A318">
        <v>317</v>
      </c>
      <c r="B318" s="2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  <c r="Q318" t="str">
        <f>VLOOKUP(MasterData[[#This Row],[season]],[1]Lookup!$A$2:$B$5,2,FALSE)</f>
        <v>Spring</v>
      </c>
      <c r="R318" t="str">
        <f>TEXT(DATE(2026,E318,1),"mmmm")</f>
        <v>January</v>
      </c>
      <c r="S318" t="str">
        <f>IF(OR(H318=0,H318=6),"Weekend","Weekday")</f>
        <v>Weekday</v>
      </c>
      <c r="T318" s="1" t="str">
        <f>VLOOKUP(I318,[1]Lookup!$D$2:$E$5,2,FALSE)</f>
        <v>Clear</v>
      </c>
      <c r="U318" s="1" t="str">
        <f>IF(F318&lt;6,"Night",
IF(F318&lt;12,"Morning",
IF(F318&lt;17,"Afternoon",
IF(F318&lt;21,"Evening","Night"))))</f>
        <v>Afternoon</v>
      </c>
      <c r="V318" s="1" t="str">
        <f>IF(J318&lt;0.3,"Cold",
IF(J318&lt;0.6,"Pleasant","Hot"))</f>
        <v>Cold</v>
      </c>
      <c r="W318" s="1" t="str">
        <f>IF(L318&lt;0.4,"Low",
IF(L318&lt;0.7,"Medium","High"))</f>
        <v>Medium</v>
      </c>
      <c r="X318" s="1" t="str">
        <f>IF(M318&lt;0.2,"Low",
IF(M318&lt;0.4,"Medium","High"))</f>
        <v>Low</v>
      </c>
      <c r="Y318" s="1" t="str">
        <f>IF(P318&lt;100,"Low",
IF(P318&lt;300,"Medium","High"))</f>
        <v>Low</v>
      </c>
    </row>
    <row r="319" spans="1:25" x14ac:dyDescent="0.3">
      <c r="A319">
        <v>318</v>
      </c>
      <c r="B319" s="2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 t="str">
        <f>VLOOKUP(MasterData[[#This Row],[season]],[1]Lookup!$A$2:$B$5,2,FALSE)</f>
        <v>Spring</v>
      </c>
      <c r="R319" t="str">
        <f>TEXT(DATE(2026,E319,1),"mmmm")</f>
        <v>January</v>
      </c>
      <c r="S319" t="str">
        <f>IF(OR(H319=0,H319=6),"Weekend","Weekday")</f>
        <v>Weekday</v>
      </c>
      <c r="T319" s="1" t="str">
        <f>VLOOKUP(I319,[1]Lookup!$D$2:$E$5,2,FALSE)</f>
        <v>Clear</v>
      </c>
      <c r="U319" s="1" t="str">
        <f>IF(F319&lt;6,"Night",
IF(F319&lt;12,"Morning",
IF(F319&lt;17,"Afternoon",
IF(F319&lt;21,"Evening","Night"))))</f>
        <v>Evening</v>
      </c>
      <c r="V319" s="1" t="str">
        <f>IF(J319&lt;0.3,"Cold",
IF(J319&lt;0.6,"Pleasant","Hot"))</f>
        <v>Cold</v>
      </c>
      <c r="W319" s="1" t="str">
        <f>IF(L319&lt;0.4,"Low",
IF(L319&lt;0.7,"Medium","High"))</f>
        <v>Medium</v>
      </c>
      <c r="X319" s="1" t="str">
        <f>IF(M319&lt;0.2,"Low",
IF(M319&lt;0.4,"Medium","High"))</f>
        <v>Low</v>
      </c>
      <c r="Y319" s="1" t="str">
        <f>IF(P319&lt;100,"Low",
IF(P319&lt;300,"Medium","High"))</f>
        <v>Medium</v>
      </c>
    </row>
    <row r="320" spans="1:25" x14ac:dyDescent="0.3">
      <c r="A320">
        <v>319</v>
      </c>
      <c r="B320" s="2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  <c r="Q320" t="str">
        <f>VLOOKUP(MasterData[[#This Row],[season]],[1]Lookup!$A$2:$B$5,2,FALSE)</f>
        <v>Spring</v>
      </c>
      <c r="R320" t="str">
        <f>TEXT(DATE(2026,E320,1),"mmmm")</f>
        <v>January</v>
      </c>
      <c r="S320" t="str">
        <f>IF(OR(H320=0,H320=6),"Weekend","Weekday")</f>
        <v>Weekday</v>
      </c>
      <c r="T320" s="1" t="str">
        <f>VLOOKUP(I320,[1]Lookup!$D$2:$E$5,2,FALSE)</f>
        <v>Clear</v>
      </c>
      <c r="U320" s="1" t="str">
        <f>IF(F320&lt;6,"Night",
IF(F320&lt;12,"Morning",
IF(F320&lt;17,"Afternoon",
IF(F320&lt;21,"Evening","Night"))))</f>
        <v>Evening</v>
      </c>
      <c r="V320" s="1" t="str">
        <f>IF(J320&lt;0.3,"Cold",
IF(J320&lt;0.6,"Pleasant","Hot"))</f>
        <v>Cold</v>
      </c>
      <c r="W320" s="1" t="str">
        <f>IF(L320&lt;0.4,"Low",
IF(L320&lt;0.7,"Medium","High"))</f>
        <v>Medium</v>
      </c>
      <c r="X320" s="1" t="str">
        <f>IF(M320&lt;0.2,"Low",
IF(M320&lt;0.4,"Medium","High"))</f>
        <v>Low</v>
      </c>
      <c r="Y320" s="1" t="str">
        <f>IF(P320&lt;100,"Low",
IF(P320&lt;300,"Medium","High"))</f>
        <v>Medium</v>
      </c>
    </row>
    <row r="321" spans="1:25" x14ac:dyDescent="0.3">
      <c r="A321">
        <v>320</v>
      </c>
      <c r="B321" s="2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 t="str">
        <f>VLOOKUP(MasterData[[#This Row],[season]],[1]Lookup!$A$2:$B$5,2,FALSE)</f>
        <v>Spring</v>
      </c>
      <c r="R321" t="str">
        <f>TEXT(DATE(2026,E321,1),"mmmm")</f>
        <v>January</v>
      </c>
      <c r="S321" t="str">
        <f>IF(OR(H321=0,H321=6),"Weekend","Weekday")</f>
        <v>Weekday</v>
      </c>
      <c r="T321" s="1" t="str">
        <f>VLOOKUP(I321,[1]Lookup!$D$2:$E$5,2,FALSE)</f>
        <v>Clear</v>
      </c>
      <c r="U321" s="1" t="str">
        <f>IF(F321&lt;6,"Night",
IF(F321&lt;12,"Morning",
IF(F321&lt;17,"Afternoon",
IF(F321&lt;21,"Evening","Night"))))</f>
        <v>Evening</v>
      </c>
      <c r="V321" s="1" t="str">
        <f>IF(J321&lt;0.3,"Cold",
IF(J321&lt;0.6,"Pleasant","Hot"))</f>
        <v>Cold</v>
      </c>
      <c r="W321" s="1" t="str">
        <f>IF(L321&lt;0.4,"Low",
IF(L321&lt;0.7,"Medium","High"))</f>
        <v>Medium</v>
      </c>
      <c r="X321" s="1" t="str">
        <f>IF(M321&lt;0.2,"Low",
IF(M321&lt;0.4,"Medium","High"))</f>
        <v>Low</v>
      </c>
      <c r="Y321" s="1" t="str">
        <f>IF(P321&lt;100,"Low",
IF(P321&lt;300,"Medium","High"))</f>
        <v>Low</v>
      </c>
    </row>
    <row r="322" spans="1:25" x14ac:dyDescent="0.3">
      <c r="A322">
        <v>321</v>
      </c>
      <c r="B322" s="2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  <c r="Q322" t="str">
        <f>VLOOKUP(MasterData[[#This Row],[season]],[1]Lookup!$A$2:$B$5,2,FALSE)</f>
        <v>Spring</v>
      </c>
      <c r="R322" t="str">
        <f>TEXT(DATE(2026,E322,1),"mmmm")</f>
        <v>January</v>
      </c>
      <c r="S322" t="str">
        <f>IF(OR(H322=0,H322=6),"Weekend","Weekday")</f>
        <v>Weekday</v>
      </c>
      <c r="T322" s="1" t="str">
        <f>VLOOKUP(I322,[1]Lookup!$D$2:$E$5,2,FALSE)</f>
        <v>Clear</v>
      </c>
      <c r="U322" s="1" t="str">
        <f>IF(F322&lt;6,"Night",
IF(F322&lt;12,"Morning",
IF(F322&lt;17,"Afternoon",
IF(F322&lt;21,"Evening","Night"))))</f>
        <v>Evening</v>
      </c>
      <c r="V322" s="1" t="str">
        <f>IF(J322&lt;0.3,"Cold",
IF(J322&lt;0.6,"Pleasant","Hot"))</f>
        <v>Cold</v>
      </c>
      <c r="W322" s="1" t="str">
        <f>IF(L322&lt;0.4,"Low",
IF(L322&lt;0.7,"Medium","High"))</f>
        <v>Medium</v>
      </c>
      <c r="X322" s="1" t="str">
        <f>IF(M322&lt;0.2,"Low",
IF(M322&lt;0.4,"Medium","High"))</f>
        <v>Low</v>
      </c>
      <c r="Y322" s="1" t="str">
        <f>IF(P322&lt;100,"Low",
IF(P322&lt;300,"Medium","High"))</f>
        <v>Low</v>
      </c>
    </row>
    <row r="323" spans="1:25" x14ac:dyDescent="0.3">
      <c r="A323">
        <v>322</v>
      </c>
      <c r="B323" s="2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 t="str">
        <f>VLOOKUP(MasterData[[#This Row],[season]],[1]Lookup!$A$2:$B$5,2,FALSE)</f>
        <v>Spring</v>
      </c>
      <c r="R323" t="str">
        <f>TEXT(DATE(2026,E323,1),"mmmm")</f>
        <v>January</v>
      </c>
      <c r="S323" t="str">
        <f>IF(OR(H323=0,H323=6),"Weekend","Weekday")</f>
        <v>Weekday</v>
      </c>
      <c r="T323" s="1" t="str">
        <f>VLOOKUP(I323,[1]Lookup!$D$2:$E$5,2,FALSE)</f>
        <v>Clear</v>
      </c>
      <c r="U323" s="1" t="str">
        <f>IF(F323&lt;6,"Night",
IF(F323&lt;12,"Morning",
IF(F323&lt;17,"Afternoon",
IF(F323&lt;21,"Evening","Night"))))</f>
        <v>Night</v>
      </c>
      <c r="V323" s="1" t="str">
        <f>IF(J323&lt;0.3,"Cold",
IF(J323&lt;0.6,"Pleasant","Hot"))</f>
        <v>Cold</v>
      </c>
      <c r="W323" s="1" t="str">
        <f>IF(L323&lt;0.4,"Low",
IF(L323&lt;0.7,"Medium","High"))</f>
        <v>Medium</v>
      </c>
      <c r="X323" s="1" t="str">
        <f>IF(M323&lt;0.2,"Low",
IF(M323&lt;0.4,"Medium","High"))</f>
        <v>Low</v>
      </c>
      <c r="Y323" s="1" t="str">
        <f>IF(P323&lt;100,"Low",
IF(P323&lt;300,"Medium","High"))</f>
        <v>Low</v>
      </c>
    </row>
    <row r="324" spans="1:25" x14ac:dyDescent="0.3">
      <c r="A324">
        <v>323</v>
      </c>
      <c r="B324" s="2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  <c r="Q324" t="str">
        <f>VLOOKUP(MasterData[[#This Row],[season]],[1]Lookup!$A$2:$B$5,2,FALSE)</f>
        <v>Spring</v>
      </c>
      <c r="R324" t="str">
        <f>TEXT(DATE(2026,E324,1),"mmmm")</f>
        <v>January</v>
      </c>
      <c r="S324" t="str">
        <f>IF(OR(H324=0,H324=6),"Weekend","Weekday")</f>
        <v>Weekday</v>
      </c>
      <c r="T324" s="1" t="str">
        <f>VLOOKUP(I324,[1]Lookup!$D$2:$E$5,2,FALSE)</f>
        <v>Mist / Cloudy</v>
      </c>
      <c r="U324" s="1" t="str">
        <f>IF(F324&lt;6,"Night",
IF(F324&lt;12,"Morning",
IF(F324&lt;17,"Afternoon",
IF(F324&lt;21,"Evening","Night"))))</f>
        <v>Night</v>
      </c>
      <c r="V324" s="1" t="str">
        <f>IF(J324&lt;0.3,"Cold",
IF(J324&lt;0.6,"Pleasant","Hot"))</f>
        <v>Cold</v>
      </c>
      <c r="W324" s="1" t="str">
        <f>IF(L324&lt;0.4,"Low",
IF(L324&lt;0.7,"Medium","High"))</f>
        <v>Medium</v>
      </c>
      <c r="X324" s="1" t="str">
        <f>IF(M324&lt;0.2,"Low",
IF(M324&lt;0.4,"Medium","High"))</f>
        <v>Low</v>
      </c>
      <c r="Y324" s="1" t="str">
        <f>IF(P324&lt;100,"Low",
IF(P324&lt;300,"Medium","High"))</f>
        <v>Low</v>
      </c>
    </row>
    <row r="325" spans="1:25" x14ac:dyDescent="0.3">
      <c r="A325">
        <v>324</v>
      </c>
      <c r="B325" s="2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 t="str">
        <f>VLOOKUP(MasterData[[#This Row],[season]],[1]Lookup!$A$2:$B$5,2,FALSE)</f>
        <v>Spring</v>
      </c>
      <c r="R325" t="str">
        <f>TEXT(DATE(2026,E325,1),"mmmm")</f>
        <v>January</v>
      </c>
      <c r="S325" t="str">
        <f>IF(OR(H325=0,H325=6),"Weekend","Weekday")</f>
        <v>Weekday</v>
      </c>
      <c r="T325" s="1" t="str">
        <f>VLOOKUP(I325,[1]Lookup!$D$2:$E$5,2,FALSE)</f>
        <v>Mist / Cloudy</v>
      </c>
      <c r="U325" s="1" t="str">
        <f>IF(F325&lt;6,"Night",
IF(F325&lt;12,"Morning",
IF(F325&lt;17,"Afternoon",
IF(F325&lt;21,"Evening","Night"))))</f>
        <v>Night</v>
      </c>
      <c r="V325" s="1" t="str">
        <f>IF(J325&lt;0.3,"Cold",
IF(J325&lt;0.6,"Pleasant","Hot"))</f>
        <v>Cold</v>
      </c>
      <c r="W325" s="1" t="str">
        <f>IF(L325&lt;0.4,"Low",
IF(L325&lt;0.7,"Medium","High"))</f>
        <v>Medium</v>
      </c>
      <c r="X325" s="1" t="str">
        <f>IF(M325&lt;0.2,"Low",
IF(M325&lt;0.4,"Medium","High"))</f>
        <v>Low</v>
      </c>
      <c r="Y325" s="1" t="str">
        <f>IF(P325&lt;100,"Low",
IF(P325&lt;300,"Medium","High"))</f>
        <v>Low</v>
      </c>
    </row>
    <row r="326" spans="1:25" x14ac:dyDescent="0.3">
      <c r="A326">
        <v>325</v>
      </c>
      <c r="B326" s="2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 t="str">
        <f>VLOOKUP(MasterData[[#This Row],[season]],[1]Lookup!$A$2:$B$5,2,FALSE)</f>
        <v>Spring</v>
      </c>
      <c r="R326" t="str">
        <f>TEXT(DATE(2026,E326,1),"mmmm")</f>
        <v>January</v>
      </c>
      <c r="S326" t="str">
        <f>IF(OR(H326=0,H326=6),"Weekend","Weekday")</f>
        <v>Weekend</v>
      </c>
      <c r="T326" s="1" t="str">
        <f>VLOOKUP(I326,[1]Lookup!$D$2:$E$5,2,FALSE)</f>
        <v>Clear</v>
      </c>
      <c r="U326" s="1" t="str">
        <f>IF(F326&lt;6,"Night",
IF(F326&lt;12,"Morning",
IF(F326&lt;17,"Afternoon",
IF(F326&lt;21,"Evening","Night"))))</f>
        <v>Night</v>
      </c>
      <c r="V326" s="1" t="str">
        <f>IF(J326&lt;0.3,"Cold",
IF(J326&lt;0.6,"Pleasant","Hot"))</f>
        <v>Cold</v>
      </c>
      <c r="W326" s="1" t="str">
        <f>IF(L326&lt;0.4,"Low",
IF(L326&lt;0.7,"Medium","High"))</f>
        <v>Medium</v>
      </c>
      <c r="X326" s="1" t="str">
        <f>IF(M326&lt;0.2,"Low",
IF(M326&lt;0.4,"Medium","High"))</f>
        <v>Low</v>
      </c>
      <c r="Y326" s="1" t="str">
        <f>IF(P326&lt;100,"Low",
IF(P326&lt;300,"Medium","High"))</f>
        <v>Low</v>
      </c>
    </row>
    <row r="327" spans="1:25" x14ac:dyDescent="0.3">
      <c r="A327">
        <v>326</v>
      </c>
      <c r="B327" s="2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 t="str">
        <f>VLOOKUP(MasterData[[#This Row],[season]],[1]Lookup!$A$2:$B$5,2,FALSE)</f>
        <v>Spring</v>
      </c>
      <c r="R327" t="str">
        <f>TEXT(DATE(2026,E327,1),"mmmm")</f>
        <v>January</v>
      </c>
      <c r="S327" t="str">
        <f>IF(OR(H327=0,H327=6),"Weekend","Weekday")</f>
        <v>Weekend</v>
      </c>
      <c r="T327" s="1" t="str">
        <f>VLOOKUP(I327,[1]Lookup!$D$2:$E$5,2,FALSE)</f>
        <v>Mist / Cloudy</v>
      </c>
      <c r="U327" s="1" t="str">
        <f>IF(F327&lt;6,"Night",
IF(F327&lt;12,"Morning",
IF(F327&lt;17,"Afternoon",
IF(F327&lt;21,"Evening","Night"))))</f>
        <v>Night</v>
      </c>
      <c r="V327" s="1" t="str">
        <f>IF(J327&lt;0.3,"Cold",
IF(J327&lt;0.6,"Pleasant","Hot"))</f>
        <v>Cold</v>
      </c>
      <c r="W327" s="1" t="str">
        <f>IF(L327&lt;0.4,"Low",
IF(L327&lt;0.7,"Medium","High"))</f>
        <v>Medium</v>
      </c>
      <c r="X327" s="1" t="str">
        <f>IF(M327&lt;0.2,"Low",
IF(M327&lt;0.4,"Medium","High"))</f>
        <v>Low</v>
      </c>
      <c r="Y327" s="1" t="str">
        <f>IF(P327&lt;100,"Low",
IF(P327&lt;300,"Medium","High"))</f>
        <v>Low</v>
      </c>
    </row>
    <row r="328" spans="1:25" x14ac:dyDescent="0.3">
      <c r="A328">
        <v>327</v>
      </c>
      <c r="B328" s="2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 t="str">
        <f>VLOOKUP(MasterData[[#This Row],[season]],[1]Lookup!$A$2:$B$5,2,FALSE)</f>
        <v>Spring</v>
      </c>
      <c r="R328" t="str">
        <f>TEXT(DATE(2026,E328,1),"mmmm")</f>
        <v>January</v>
      </c>
      <c r="S328" t="str">
        <f>IF(OR(H328=0,H328=6),"Weekend","Weekday")</f>
        <v>Weekend</v>
      </c>
      <c r="T328" s="1" t="str">
        <f>VLOOKUP(I328,[1]Lookup!$D$2:$E$5,2,FALSE)</f>
        <v>Mist / Cloudy</v>
      </c>
      <c r="U328" s="1" t="str">
        <f>IF(F328&lt;6,"Night",
IF(F328&lt;12,"Morning",
IF(F328&lt;17,"Afternoon",
IF(F328&lt;21,"Evening","Night"))))</f>
        <v>Night</v>
      </c>
      <c r="V328" s="1" t="str">
        <f>IF(J328&lt;0.3,"Cold",
IF(J328&lt;0.6,"Pleasant","Hot"))</f>
        <v>Cold</v>
      </c>
      <c r="W328" s="1" t="str">
        <f>IF(L328&lt;0.4,"Low",
IF(L328&lt;0.7,"Medium","High"))</f>
        <v>Medium</v>
      </c>
      <c r="X328" s="1" t="str">
        <f>IF(M328&lt;0.2,"Low",
IF(M328&lt;0.4,"Medium","High"))</f>
        <v>Low</v>
      </c>
      <c r="Y328" s="1" t="str">
        <f>IF(P328&lt;100,"Low",
IF(P328&lt;300,"Medium","High"))</f>
        <v>Low</v>
      </c>
    </row>
    <row r="329" spans="1:25" x14ac:dyDescent="0.3">
      <c r="A329">
        <v>328</v>
      </c>
      <c r="B329" s="2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 t="str">
        <f>VLOOKUP(MasterData[[#This Row],[season]],[1]Lookup!$A$2:$B$5,2,FALSE)</f>
        <v>Spring</v>
      </c>
      <c r="R329" t="str">
        <f>TEXT(DATE(2026,E329,1),"mmmm")</f>
        <v>January</v>
      </c>
      <c r="S329" t="str">
        <f>IF(OR(H329=0,H329=6),"Weekend","Weekday")</f>
        <v>Weekend</v>
      </c>
      <c r="T329" s="1" t="str">
        <f>VLOOKUP(I329,[1]Lookup!$D$2:$E$5,2,FALSE)</f>
        <v>Mist / Cloudy</v>
      </c>
      <c r="U329" s="1" t="str">
        <f>IF(F329&lt;6,"Night",
IF(F329&lt;12,"Morning",
IF(F329&lt;17,"Afternoon",
IF(F329&lt;21,"Evening","Night"))))</f>
        <v>Night</v>
      </c>
      <c r="V329" s="1" t="str">
        <f>IF(J329&lt;0.3,"Cold",
IF(J329&lt;0.6,"Pleasant","Hot"))</f>
        <v>Cold</v>
      </c>
      <c r="W329" s="1" t="str">
        <f>IF(L329&lt;0.4,"Low",
IF(L329&lt;0.7,"Medium","High"))</f>
        <v>Medium</v>
      </c>
      <c r="X329" s="1" t="str">
        <f>IF(M329&lt;0.2,"Low",
IF(M329&lt;0.4,"Medium","High"))</f>
        <v>Low</v>
      </c>
      <c r="Y329" s="1" t="str">
        <f>IF(P329&lt;100,"Low",
IF(P329&lt;300,"Medium","High"))</f>
        <v>Low</v>
      </c>
    </row>
    <row r="330" spans="1:25" x14ac:dyDescent="0.3">
      <c r="A330">
        <v>329</v>
      </c>
      <c r="B330" s="2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 t="str">
        <f>VLOOKUP(MasterData[[#This Row],[season]],[1]Lookup!$A$2:$B$5,2,FALSE)</f>
        <v>Spring</v>
      </c>
      <c r="R330" t="str">
        <f>TEXT(DATE(2026,E330,1),"mmmm")</f>
        <v>January</v>
      </c>
      <c r="S330" t="str">
        <f>IF(OR(H330=0,H330=6),"Weekend","Weekday")</f>
        <v>Weekend</v>
      </c>
      <c r="T330" s="1" t="str">
        <f>VLOOKUP(I330,[1]Lookup!$D$2:$E$5,2,FALSE)</f>
        <v>Mist / Cloudy</v>
      </c>
      <c r="U330" s="1" t="str">
        <f>IF(F330&lt;6,"Night",
IF(F330&lt;12,"Morning",
IF(F330&lt;17,"Afternoon",
IF(F330&lt;21,"Evening","Night"))))</f>
        <v>Night</v>
      </c>
      <c r="V330" s="1" t="str">
        <f>IF(J330&lt;0.3,"Cold",
IF(J330&lt;0.6,"Pleasant","Hot"))</f>
        <v>Cold</v>
      </c>
      <c r="W330" s="1" t="str">
        <f>IF(L330&lt;0.4,"Low",
IF(L330&lt;0.7,"Medium","High"))</f>
        <v>Medium</v>
      </c>
      <c r="X330" s="1" t="str">
        <f>IF(M330&lt;0.2,"Low",
IF(M330&lt;0.4,"Medium","High"))</f>
        <v>Low</v>
      </c>
      <c r="Y330" s="1" t="str">
        <f>IF(P330&lt;100,"Low",
IF(P330&lt;300,"Medium","High"))</f>
        <v>Low</v>
      </c>
    </row>
    <row r="331" spans="1:25" x14ac:dyDescent="0.3">
      <c r="A331">
        <v>330</v>
      </c>
      <c r="B331" s="2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  <c r="Q331" t="str">
        <f>VLOOKUP(MasterData[[#This Row],[season]],[1]Lookup!$A$2:$B$5,2,FALSE)</f>
        <v>Spring</v>
      </c>
      <c r="R331" t="str">
        <f>TEXT(DATE(2026,E331,1),"mmmm")</f>
        <v>January</v>
      </c>
      <c r="S331" t="str">
        <f>IF(OR(H331=0,H331=6),"Weekend","Weekday")</f>
        <v>Weekend</v>
      </c>
      <c r="T331" s="1" t="str">
        <f>VLOOKUP(I331,[1]Lookup!$D$2:$E$5,2,FALSE)</f>
        <v>Clear</v>
      </c>
      <c r="U331" s="1" t="str">
        <f>IF(F331&lt;6,"Night",
IF(F331&lt;12,"Morning",
IF(F331&lt;17,"Afternoon",
IF(F331&lt;21,"Evening","Night"))))</f>
        <v>Night</v>
      </c>
      <c r="V331" s="1" t="str">
        <f>IF(J331&lt;0.3,"Cold",
IF(J331&lt;0.6,"Pleasant","Hot"))</f>
        <v>Cold</v>
      </c>
      <c r="W331" s="1" t="str">
        <f>IF(L331&lt;0.4,"Low",
IF(L331&lt;0.7,"Medium","High"))</f>
        <v>Medium</v>
      </c>
      <c r="X331" s="1" t="str">
        <f>IF(M331&lt;0.2,"Low",
IF(M331&lt;0.4,"Medium","High"))</f>
        <v>Low</v>
      </c>
      <c r="Y331" s="1" t="str">
        <f>IF(P331&lt;100,"Low",
IF(P331&lt;300,"Medium","High"))</f>
        <v>Low</v>
      </c>
    </row>
    <row r="332" spans="1:25" x14ac:dyDescent="0.3">
      <c r="A332">
        <v>331</v>
      </c>
      <c r="B332" s="2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  <c r="Q332" t="str">
        <f>VLOOKUP(MasterData[[#This Row],[season]],[1]Lookup!$A$2:$B$5,2,FALSE)</f>
        <v>Spring</v>
      </c>
      <c r="R332" t="str">
        <f>TEXT(DATE(2026,E332,1),"mmmm")</f>
        <v>January</v>
      </c>
      <c r="S332" t="str">
        <f>IF(OR(H332=0,H332=6),"Weekend","Weekday")</f>
        <v>Weekend</v>
      </c>
      <c r="T332" s="1" t="str">
        <f>VLOOKUP(I332,[1]Lookup!$D$2:$E$5,2,FALSE)</f>
        <v>Clear</v>
      </c>
      <c r="U332" s="1" t="str">
        <f>IF(F332&lt;6,"Night",
IF(F332&lt;12,"Morning",
IF(F332&lt;17,"Afternoon",
IF(F332&lt;21,"Evening","Night"))))</f>
        <v>Morning</v>
      </c>
      <c r="V332" s="1" t="str">
        <f>IF(J332&lt;0.3,"Cold",
IF(J332&lt;0.6,"Pleasant","Hot"))</f>
        <v>Cold</v>
      </c>
      <c r="W332" s="1" t="str">
        <f>IF(L332&lt;0.4,"Low",
IF(L332&lt;0.7,"Medium","High"))</f>
        <v>Medium</v>
      </c>
      <c r="X332" s="1" t="str">
        <f>IF(M332&lt;0.2,"Low",
IF(M332&lt;0.4,"Medium","High"))</f>
        <v>Low</v>
      </c>
      <c r="Y332" s="1" t="str">
        <f>IF(P332&lt;100,"Low",
IF(P332&lt;300,"Medium","High"))</f>
        <v>Low</v>
      </c>
    </row>
    <row r="333" spans="1:25" x14ac:dyDescent="0.3">
      <c r="A333">
        <v>332</v>
      </c>
      <c r="B333" s="2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  <c r="Q333" t="str">
        <f>VLOOKUP(MasterData[[#This Row],[season]],[1]Lookup!$A$2:$B$5,2,FALSE)</f>
        <v>Spring</v>
      </c>
      <c r="R333" t="str">
        <f>TEXT(DATE(2026,E333,1),"mmmm")</f>
        <v>January</v>
      </c>
      <c r="S333" t="str">
        <f>IF(OR(H333=0,H333=6),"Weekend","Weekday")</f>
        <v>Weekend</v>
      </c>
      <c r="T333" s="1" t="str">
        <f>VLOOKUP(I333,[1]Lookup!$D$2:$E$5,2,FALSE)</f>
        <v>Clear</v>
      </c>
      <c r="U333" s="1" t="str">
        <f>IF(F333&lt;6,"Night",
IF(F333&lt;12,"Morning",
IF(F333&lt;17,"Afternoon",
IF(F333&lt;21,"Evening","Night"))))</f>
        <v>Morning</v>
      </c>
      <c r="V333" s="1" t="str">
        <f>IF(J333&lt;0.3,"Cold",
IF(J333&lt;0.6,"Pleasant","Hot"))</f>
        <v>Cold</v>
      </c>
      <c r="W333" s="1" t="str">
        <f>IF(L333&lt;0.4,"Low",
IF(L333&lt;0.7,"Medium","High"))</f>
        <v>Medium</v>
      </c>
      <c r="X333" s="1" t="str">
        <f>IF(M333&lt;0.2,"Low",
IF(M333&lt;0.4,"Medium","High"))</f>
        <v>Low</v>
      </c>
      <c r="Y333" s="1" t="str">
        <f>IF(P333&lt;100,"Low",
IF(P333&lt;300,"Medium","High"))</f>
        <v>Low</v>
      </c>
    </row>
    <row r="334" spans="1:25" x14ac:dyDescent="0.3">
      <c r="A334">
        <v>333</v>
      </c>
      <c r="B334" s="2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  <c r="Q334" t="str">
        <f>VLOOKUP(MasterData[[#This Row],[season]],[1]Lookup!$A$2:$B$5,2,FALSE)</f>
        <v>Spring</v>
      </c>
      <c r="R334" t="str">
        <f>TEXT(DATE(2026,E334,1),"mmmm")</f>
        <v>January</v>
      </c>
      <c r="S334" t="str">
        <f>IF(OR(H334=0,H334=6),"Weekend","Weekday")</f>
        <v>Weekend</v>
      </c>
      <c r="T334" s="1" t="str">
        <f>VLOOKUP(I334,[1]Lookup!$D$2:$E$5,2,FALSE)</f>
        <v>Clear</v>
      </c>
      <c r="U334" s="1" t="str">
        <f>IF(F334&lt;6,"Night",
IF(F334&lt;12,"Morning",
IF(F334&lt;17,"Afternoon",
IF(F334&lt;21,"Evening","Night"))))</f>
        <v>Morning</v>
      </c>
      <c r="V334" s="1" t="str">
        <f>IF(J334&lt;0.3,"Cold",
IF(J334&lt;0.6,"Pleasant","Hot"))</f>
        <v>Cold</v>
      </c>
      <c r="W334" s="1" t="str">
        <f>IF(L334&lt;0.4,"Low",
IF(L334&lt;0.7,"Medium","High"))</f>
        <v>Medium</v>
      </c>
      <c r="X334" s="1" t="str">
        <f>IF(M334&lt;0.2,"Low",
IF(M334&lt;0.4,"Medium","High"))</f>
        <v>Low</v>
      </c>
      <c r="Y334" s="1" t="str">
        <f>IF(P334&lt;100,"Low",
IF(P334&lt;300,"Medium","High"))</f>
        <v>Low</v>
      </c>
    </row>
    <row r="335" spans="1:25" x14ac:dyDescent="0.3">
      <c r="A335">
        <v>334</v>
      </c>
      <c r="B335" s="2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  <c r="Q335" t="str">
        <f>VLOOKUP(MasterData[[#This Row],[season]],[1]Lookup!$A$2:$B$5,2,FALSE)</f>
        <v>Spring</v>
      </c>
      <c r="R335" t="str">
        <f>TEXT(DATE(2026,E335,1),"mmmm")</f>
        <v>January</v>
      </c>
      <c r="S335" t="str">
        <f>IF(OR(H335=0,H335=6),"Weekend","Weekday")</f>
        <v>Weekend</v>
      </c>
      <c r="T335" s="1" t="str">
        <f>VLOOKUP(I335,[1]Lookup!$D$2:$E$5,2,FALSE)</f>
        <v>Clear</v>
      </c>
      <c r="U335" s="1" t="str">
        <f>IF(F335&lt;6,"Night",
IF(F335&lt;12,"Morning",
IF(F335&lt;17,"Afternoon",
IF(F335&lt;21,"Evening","Night"))))</f>
        <v>Morning</v>
      </c>
      <c r="V335" s="1" t="str">
        <f>IF(J335&lt;0.3,"Cold",
IF(J335&lt;0.6,"Pleasant","Hot"))</f>
        <v>Cold</v>
      </c>
      <c r="W335" s="1" t="str">
        <f>IF(L335&lt;0.4,"Low",
IF(L335&lt;0.7,"Medium","High"))</f>
        <v>Medium</v>
      </c>
      <c r="X335" s="1" t="str">
        <f>IF(M335&lt;0.2,"Low",
IF(M335&lt;0.4,"Medium","High"))</f>
        <v>Low</v>
      </c>
      <c r="Y335" s="1" t="str">
        <f>IF(P335&lt;100,"Low",
IF(P335&lt;300,"Medium","High"))</f>
        <v>Low</v>
      </c>
    </row>
    <row r="336" spans="1:25" x14ac:dyDescent="0.3">
      <c r="A336">
        <v>335</v>
      </c>
      <c r="B336" s="2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 t="str">
        <f>VLOOKUP(MasterData[[#This Row],[season]],[1]Lookup!$A$2:$B$5,2,FALSE)</f>
        <v>Spring</v>
      </c>
      <c r="R336" t="str">
        <f>TEXT(DATE(2026,E336,1),"mmmm")</f>
        <v>January</v>
      </c>
      <c r="S336" t="str">
        <f>IF(OR(H336=0,H336=6),"Weekend","Weekday")</f>
        <v>Weekend</v>
      </c>
      <c r="T336" s="1" t="str">
        <f>VLOOKUP(I336,[1]Lookup!$D$2:$E$5,2,FALSE)</f>
        <v>Clear</v>
      </c>
      <c r="U336" s="1" t="str">
        <f>IF(F336&lt;6,"Night",
IF(F336&lt;12,"Morning",
IF(F336&lt;17,"Afternoon",
IF(F336&lt;21,"Evening","Night"))))</f>
        <v>Morning</v>
      </c>
      <c r="V336" s="1" t="str">
        <f>IF(J336&lt;0.3,"Cold",
IF(J336&lt;0.6,"Pleasant","Hot"))</f>
        <v>Cold</v>
      </c>
      <c r="W336" s="1" t="str">
        <f>IF(L336&lt;0.4,"Low",
IF(L336&lt;0.7,"Medium","High"))</f>
        <v>Medium</v>
      </c>
      <c r="X336" s="1" t="str">
        <f>IF(M336&lt;0.2,"Low",
IF(M336&lt;0.4,"Medium","High"))</f>
        <v>Low</v>
      </c>
      <c r="Y336" s="1" t="str">
        <f>IF(P336&lt;100,"Low",
IF(P336&lt;300,"Medium","High"))</f>
        <v>Low</v>
      </c>
    </row>
    <row r="337" spans="1:25" x14ac:dyDescent="0.3">
      <c r="A337">
        <v>336</v>
      </c>
      <c r="B337" s="2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 t="str">
        <f>VLOOKUP(MasterData[[#This Row],[season]],[1]Lookup!$A$2:$B$5,2,FALSE)</f>
        <v>Spring</v>
      </c>
      <c r="R337" t="str">
        <f>TEXT(DATE(2026,E337,1),"mmmm")</f>
        <v>January</v>
      </c>
      <c r="S337" t="str">
        <f>IF(OR(H337=0,H337=6),"Weekend","Weekday")</f>
        <v>Weekend</v>
      </c>
      <c r="T337" s="1" t="str">
        <f>VLOOKUP(I337,[1]Lookup!$D$2:$E$5,2,FALSE)</f>
        <v>Clear</v>
      </c>
      <c r="U337" s="1" t="str">
        <f>IF(F337&lt;6,"Night",
IF(F337&lt;12,"Morning",
IF(F337&lt;17,"Afternoon",
IF(F337&lt;21,"Evening","Night"))))</f>
        <v>Morning</v>
      </c>
      <c r="V337" s="1" t="str">
        <f>IF(J337&lt;0.3,"Cold",
IF(J337&lt;0.6,"Pleasant","Hot"))</f>
        <v>Cold</v>
      </c>
      <c r="W337" s="1" t="str">
        <f>IF(L337&lt;0.4,"Low",
IF(L337&lt;0.7,"Medium","High"))</f>
        <v>Medium</v>
      </c>
      <c r="X337" s="1" t="str">
        <f>IF(M337&lt;0.2,"Low",
IF(M337&lt;0.4,"Medium","High"))</f>
        <v>Medium</v>
      </c>
      <c r="Y337" s="1" t="str">
        <f>IF(P337&lt;100,"Low",
IF(P337&lt;300,"Medium","High"))</f>
        <v>Low</v>
      </c>
    </row>
    <row r="338" spans="1:25" x14ac:dyDescent="0.3">
      <c r="A338">
        <v>337</v>
      </c>
      <c r="B338" s="2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 t="str">
        <f>VLOOKUP(MasterData[[#This Row],[season]],[1]Lookup!$A$2:$B$5,2,FALSE)</f>
        <v>Spring</v>
      </c>
      <c r="R338" t="str">
        <f>TEXT(DATE(2026,E338,1),"mmmm")</f>
        <v>January</v>
      </c>
      <c r="S338" t="str">
        <f>IF(OR(H338=0,H338=6),"Weekend","Weekday")</f>
        <v>Weekend</v>
      </c>
      <c r="T338" s="1" t="str">
        <f>VLOOKUP(I338,[1]Lookup!$D$2:$E$5,2,FALSE)</f>
        <v>Clear</v>
      </c>
      <c r="U338" s="1" t="str">
        <f>IF(F338&lt;6,"Night",
IF(F338&lt;12,"Morning",
IF(F338&lt;17,"Afternoon",
IF(F338&lt;21,"Evening","Night"))))</f>
        <v>Afternoon</v>
      </c>
      <c r="V338" s="1" t="str">
        <f>IF(J338&lt;0.3,"Cold",
IF(J338&lt;0.6,"Pleasant","Hot"))</f>
        <v>Cold</v>
      </c>
      <c r="W338" s="1" t="str">
        <f>IF(L338&lt;0.4,"Low",
IF(L338&lt;0.7,"Medium","High"))</f>
        <v>Medium</v>
      </c>
      <c r="X338" s="1" t="str">
        <f>IF(M338&lt;0.2,"Low",
IF(M338&lt;0.4,"Medium","High"))</f>
        <v>Medium</v>
      </c>
      <c r="Y338" s="1" t="str">
        <f>IF(P338&lt;100,"Low",
IF(P338&lt;300,"Medium","High"))</f>
        <v>Low</v>
      </c>
    </row>
    <row r="339" spans="1:25" x14ac:dyDescent="0.3">
      <c r="A339">
        <v>338</v>
      </c>
      <c r="B339" s="2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 t="str">
        <f>VLOOKUP(MasterData[[#This Row],[season]],[1]Lookup!$A$2:$B$5,2,FALSE)</f>
        <v>Spring</v>
      </c>
      <c r="R339" t="str">
        <f>TEXT(DATE(2026,E339,1),"mmmm")</f>
        <v>January</v>
      </c>
      <c r="S339" t="str">
        <f>IF(OR(H339=0,H339=6),"Weekend","Weekday")</f>
        <v>Weekend</v>
      </c>
      <c r="T339" s="1" t="str">
        <f>VLOOKUP(I339,[1]Lookup!$D$2:$E$5,2,FALSE)</f>
        <v>Clear</v>
      </c>
      <c r="U339" s="1" t="str">
        <f>IF(F339&lt;6,"Night",
IF(F339&lt;12,"Morning",
IF(F339&lt;17,"Afternoon",
IF(F339&lt;21,"Evening","Night"))))</f>
        <v>Afternoon</v>
      </c>
      <c r="V339" s="1" t="str">
        <f>IF(J339&lt;0.3,"Cold",
IF(J339&lt;0.6,"Pleasant","Hot"))</f>
        <v>Cold</v>
      </c>
      <c r="W339" s="1" t="str">
        <f>IF(L339&lt;0.4,"Low",
IF(L339&lt;0.7,"Medium","High"))</f>
        <v>Low</v>
      </c>
      <c r="X339" s="1" t="str">
        <f>IF(M339&lt;0.2,"Low",
IF(M339&lt;0.4,"Medium","High"))</f>
        <v>Medium</v>
      </c>
      <c r="Y339" s="1" t="str">
        <f>IF(P339&lt;100,"Low",
IF(P339&lt;300,"Medium","High"))</f>
        <v>Medium</v>
      </c>
    </row>
    <row r="340" spans="1:25" x14ac:dyDescent="0.3">
      <c r="A340">
        <v>339</v>
      </c>
      <c r="B340" s="2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 t="str">
        <f>VLOOKUP(MasterData[[#This Row],[season]],[1]Lookup!$A$2:$B$5,2,FALSE)</f>
        <v>Spring</v>
      </c>
      <c r="R340" t="str">
        <f>TEXT(DATE(2026,E340,1),"mmmm")</f>
        <v>January</v>
      </c>
      <c r="S340" t="str">
        <f>IF(OR(H340=0,H340=6),"Weekend","Weekday")</f>
        <v>Weekend</v>
      </c>
      <c r="T340" s="1" t="str">
        <f>VLOOKUP(I340,[1]Lookup!$D$2:$E$5,2,FALSE)</f>
        <v>Clear</v>
      </c>
      <c r="U340" s="1" t="str">
        <f>IF(F340&lt;6,"Night",
IF(F340&lt;12,"Morning",
IF(F340&lt;17,"Afternoon",
IF(F340&lt;21,"Evening","Night"))))</f>
        <v>Afternoon</v>
      </c>
      <c r="V340" s="1" t="str">
        <f>IF(J340&lt;0.3,"Cold",
IF(J340&lt;0.6,"Pleasant","Hot"))</f>
        <v>Pleasant</v>
      </c>
      <c r="W340" s="1" t="str">
        <f>IF(L340&lt;0.4,"Low",
IF(L340&lt;0.7,"Medium","High"))</f>
        <v>Low</v>
      </c>
      <c r="X340" s="1" t="str">
        <f>IF(M340&lt;0.2,"Low",
IF(M340&lt;0.4,"Medium","High"))</f>
        <v>Medium</v>
      </c>
      <c r="Y340" s="1" t="str">
        <f>IF(P340&lt;100,"Low",
IF(P340&lt;300,"Medium","High"))</f>
        <v>Medium</v>
      </c>
    </row>
    <row r="341" spans="1:25" x14ac:dyDescent="0.3">
      <c r="A341">
        <v>340</v>
      </c>
      <c r="B341" s="2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 t="str">
        <f>VLOOKUP(MasterData[[#This Row],[season]],[1]Lookup!$A$2:$B$5,2,FALSE)</f>
        <v>Spring</v>
      </c>
      <c r="R341" t="str">
        <f>TEXT(DATE(2026,E341,1),"mmmm")</f>
        <v>January</v>
      </c>
      <c r="S341" t="str">
        <f>IF(OR(H341=0,H341=6),"Weekend","Weekday")</f>
        <v>Weekend</v>
      </c>
      <c r="T341" s="1" t="str">
        <f>VLOOKUP(I341,[1]Lookup!$D$2:$E$5,2,FALSE)</f>
        <v>Mist / Cloudy</v>
      </c>
      <c r="U341" s="1" t="str">
        <f>IF(F341&lt;6,"Night",
IF(F341&lt;12,"Morning",
IF(F341&lt;17,"Afternoon",
IF(F341&lt;21,"Evening","Night"))))</f>
        <v>Afternoon</v>
      </c>
      <c r="V341" s="1" t="str">
        <f>IF(J341&lt;0.3,"Cold",
IF(J341&lt;0.6,"Pleasant","Hot"))</f>
        <v>Pleasant</v>
      </c>
      <c r="W341" s="1" t="str">
        <f>IF(L341&lt;0.4,"Low",
IF(L341&lt;0.7,"Medium","High"))</f>
        <v>Low</v>
      </c>
      <c r="X341" s="1" t="str">
        <f>IF(M341&lt;0.2,"Low",
IF(M341&lt;0.4,"Medium","High"))</f>
        <v>Low</v>
      </c>
      <c r="Y341" s="1" t="str">
        <f>IF(P341&lt;100,"Low",
IF(P341&lt;300,"Medium","High"))</f>
        <v>Medium</v>
      </c>
    </row>
    <row r="342" spans="1:25" x14ac:dyDescent="0.3">
      <c r="A342">
        <v>341</v>
      </c>
      <c r="B342" s="2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 t="str">
        <f>VLOOKUP(MasterData[[#This Row],[season]],[1]Lookup!$A$2:$B$5,2,FALSE)</f>
        <v>Spring</v>
      </c>
      <c r="R342" t="str">
        <f>TEXT(DATE(2026,E342,1),"mmmm")</f>
        <v>January</v>
      </c>
      <c r="S342" t="str">
        <f>IF(OR(H342=0,H342=6),"Weekend","Weekday")</f>
        <v>Weekend</v>
      </c>
      <c r="T342" s="1" t="str">
        <f>VLOOKUP(I342,[1]Lookup!$D$2:$E$5,2,FALSE)</f>
        <v>Mist / Cloudy</v>
      </c>
      <c r="U342" s="1" t="str">
        <f>IF(F342&lt;6,"Night",
IF(F342&lt;12,"Morning",
IF(F342&lt;17,"Afternoon",
IF(F342&lt;21,"Evening","Night"))))</f>
        <v>Afternoon</v>
      </c>
      <c r="V342" s="1" t="str">
        <f>IF(J342&lt;0.3,"Cold",
IF(J342&lt;0.6,"Pleasant","Hot"))</f>
        <v>Pleasant</v>
      </c>
      <c r="W342" s="1" t="str">
        <f>IF(L342&lt;0.4,"Low",
IF(L342&lt;0.7,"Medium","High"))</f>
        <v>Low</v>
      </c>
      <c r="X342" s="1" t="str">
        <f>IF(M342&lt;0.2,"Low",
IF(M342&lt;0.4,"Medium","High"))</f>
        <v>Low</v>
      </c>
      <c r="Y342" s="1" t="str">
        <f>IF(P342&lt;100,"Low",
IF(P342&lt;300,"Medium","High"))</f>
        <v>Medium</v>
      </c>
    </row>
    <row r="343" spans="1:25" x14ac:dyDescent="0.3">
      <c r="A343">
        <v>342</v>
      </c>
      <c r="B343" s="2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 t="str">
        <f>VLOOKUP(MasterData[[#This Row],[season]],[1]Lookup!$A$2:$B$5,2,FALSE)</f>
        <v>Spring</v>
      </c>
      <c r="R343" t="str">
        <f>TEXT(DATE(2026,E343,1),"mmmm")</f>
        <v>January</v>
      </c>
      <c r="S343" t="str">
        <f>IF(OR(H343=0,H343=6),"Weekend","Weekday")</f>
        <v>Weekend</v>
      </c>
      <c r="T343" s="1" t="str">
        <f>VLOOKUP(I343,[1]Lookup!$D$2:$E$5,2,FALSE)</f>
        <v>Mist / Cloudy</v>
      </c>
      <c r="U343" s="1" t="str">
        <f>IF(F343&lt;6,"Night",
IF(F343&lt;12,"Morning",
IF(F343&lt;17,"Afternoon",
IF(F343&lt;21,"Evening","Night"))))</f>
        <v>Evening</v>
      </c>
      <c r="V343" s="1" t="str">
        <f>IF(J343&lt;0.3,"Cold",
IF(J343&lt;0.6,"Pleasant","Hot"))</f>
        <v>Pleasant</v>
      </c>
      <c r="W343" s="1" t="str">
        <f>IF(L343&lt;0.4,"Low",
IF(L343&lt;0.7,"Medium","High"))</f>
        <v>Low</v>
      </c>
      <c r="X343" s="1" t="str">
        <f>IF(M343&lt;0.2,"Low",
IF(M343&lt;0.4,"Medium","High"))</f>
        <v>Medium</v>
      </c>
      <c r="Y343" s="1" t="str">
        <f>IF(P343&lt;100,"Low",
IF(P343&lt;300,"Medium","High"))</f>
        <v>Low</v>
      </c>
    </row>
    <row r="344" spans="1:25" x14ac:dyDescent="0.3">
      <c r="A344">
        <v>343</v>
      </c>
      <c r="B344" s="2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 t="str">
        <f>VLOOKUP(MasterData[[#This Row],[season]],[1]Lookup!$A$2:$B$5,2,FALSE)</f>
        <v>Spring</v>
      </c>
      <c r="R344" t="str">
        <f>TEXT(DATE(2026,E344,1),"mmmm")</f>
        <v>January</v>
      </c>
      <c r="S344" t="str">
        <f>IF(OR(H344=0,H344=6),"Weekend","Weekday")</f>
        <v>Weekend</v>
      </c>
      <c r="T344" s="1" t="str">
        <f>VLOOKUP(I344,[1]Lookup!$D$2:$E$5,2,FALSE)</f>
        <v>Mist / Cloudy</v>
      </c>
      <c r="U344" s="1" t="str">
        <f>IF(F344&lt;6,"Night",
IF(F344&lt;12,"Morning",
IF(F344&lt;17,"Afternoon",
IF(F344&lt;21,"Evening","Night"))))</f>
        <v>Evening</v>
      </c>
      <c r="V344" s="1" t="str">
        <f>IF(J344&lt;0.3,"Cold",
IF(J344&lt;0.6,"Pleasant","Hot"))</f>
        <v>Pleasant</v>
      </c>
      <c r="W344" s="1" t="str">
        <f>IF(L344&lt;0.4,"Low",
IF(L344&lt;0.7,"Medium","High"))</f>
        <v>Medium</v>
      </c>
      <c r="X344" s="1" t="str">
        <f>IF(M344&lt;0.2,"Low",
IF(M344&lt;0.4,"Medium","High"))</f>
        <v>Medium</v>
      </c>
      <c r="Y344" s="1" t="str">
        <f>IF(P344&lt;100,"Low",
IF(P344&lt;300,"Medium","High"))</f>
        <v>Low</v>
      </c>
    </row>
    <row r="345" spans="1:25" x14ac:dyDescent="0.3">
      <c r="A345">
        <v>344</v>
      </c>
      <c r="B345" s="2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 t="str">
        <f>VLOOKUP(MasterData[[#This Row],[season]],[1]Lookup!$A$2:$B$5,2,FALSE)</f>
        <v>Spring</v>
      </c>
      <c r="R345" t="str">
        <f>TEXT(DATE(2026,E345,1),"mmmm")</f>
        <v>January</v>
      </c>
      <c r="S345" t="str">
        <f>IF(OR(H345=0,H345=6),"Weekend","Weekday")</f>
        <v>Weekend</v>
      </c>
      <c r="T345" s="1" t="str">
        <f>VLOOKUP(I345,[1]Lookup!$D$2:$E$5,2,FALSE)</f>
        <v>Mist / Cloudy</v>
      </c>
      <c r="U345" s="1" t="str">
        <f>IF(F345&lt;6,"Night",
IF(F345&lt;12,"Morning",
IF(F345&lt;17,"Afternoon",
IF(F345&lt;21,"Evening","Night"))))</f>
        <v>Evening</v>
      </c>
      <c r="V345" s="1" t="str">
        <f>IF(J345&lt;0.3,"Cold",
IF(J345&lt;0.6,"Pleasant","Hot"))</f>
        <v>Pleasant</v>
      </c>
      <c r="W345" s="1" t="str">
        <f>IF(L345&lt;0.4,"Low",
IF(L345&lt;0.7,"Medium","High"))</f>
        <v>Low</v>
      </c>
      <c r="X345" s="1" t="str">
        <f>IF(M345&lt;0.2,"Low",
IF(M345&lt;0.4,"Medium","High"))</f>
        <v>Medium</v>
      </c>
      <c r="Y345" s="1" t="str">
        <f>IF(P345&lt;100,"Low",
IF(P345&lt;300,"Medium","High"))</f>
        <v>Low</v>
      </c>
    </row>
    <row r="346" spans="1:25" x14ac:dyDescent="0.3">
      <c r="A346">
        <v>345</v>
      </c>
      <c r="B346" s="2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 t="str">
        <f>VLOOKUP(MasterData[[#This Row],[season]],[1]Lookup!$A$2:$B$5,2,FALSE)</f>
        <v>Spring</v>
      </c>
      <c r="R346" t="str">
        <f>TEXT(DATE(2026,E346,1),"mmmm")</f>
        <v>January</v>
      </c>
      <c r="S346" t="str">
        <f>IF(OR(H346=0,H346=6),"Weekend","Weekday")</f>
        <v>Weekend</v>
      </c>
      <c r="T346" s="1" t="str">
        <f>VLOOKUP(I346,[1]Lookup!$D$2:$E$5,2,FALSE)</f>
        <v>Mist / Cloudy</v>
      </c>
      <c r="U346" s="1" t="str">
        <f>IF(F346&lt;6,"Night",
IF(F346&lt;12,"Morning",
IF(F346&lt;17,"Afternoon",
IF(F346&lt;21,"Evening","Night"))))</f>
        <v>Evening</v>
      </c>
      <c r="V346" s="1" t="str">
        <f>IF(J346&lt;0.3,"Cold",
IF(J346&lt;0.6,"Pleasant","Hot"))</f>
        <v>Pleasant</v>
      </c>
      <c r="W346" s="1" t="str">
        <f>IF(L346&lt;0.4,"Low",
IF(L346&lt;0.7,"Medium","High"))</f>
        <v>Low</v>
      </c>
      <c r="X346" s="1" t="str">
        <f>IF(M346&lt;0.2,"Low",
IF(M346&lt;0.4,"Medium","High"))</f>
        <v>Medium</v>
      </c>
      <c r="Y346" s="1" t="str">
        <f>IF(P346&lt;100,"Low",
IF(P346&lt;300,"Medium","High"))</f>
        <v>Low</v>
      </c>
    </row>
    <row r="347" spans="1:25" x14ac:dyDescent="0.3">
      <c r="A347">
        <v>346</v>
      </c>
      <c r="B347" s="2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 t="str">
        <f>VLOOKUP(MasterData[[#This Row],[season]],[1]Lookup!$A$2:$B$5,2,FALSE)</f>
        <v>Spring</v>
      </c>
      <c r="R347" t="str">
        <f>TEXT(DATE(2026,E347,1),"mmmm")</f>
        <v>January</v>
      </c>
      <c r="S347" t="str">
        <f>IF(OR(H347=0,H347=6),"Weekend","Weekday")</f>
        <v>Weekend</v>
      </c>
      <c r="T347" s="1" t="str">
        <f>VLOOKUP(I347,[1]Lookup!$D$2:$E$5,2,FALSE)</f>
        <v>Mist / Cloudy</v>
      </c>
      <c r="U347" s="1" t="str">
        <f>IF(F347&lt;6,"Night",
IF(F347&lt;12,"Morning",
IF(F347&lt;17,"Afternoon",
IF(F347&lt;21,"Evening","Night"))))</f>
        <v>Night</v>
      </c>
      <c r="V347" s="1" t="str">
        <f>IF(J347&lt;0.3,"Cold",
IF(J347&lt;0.6,"Pleasant","Hot"))</f>
        <v>Pleasant</v>
      </c>
      <c r="W347" s="1" t="str">
        <f>IF(L347&lt;0.4,"Low",
IF(L347&lt;0.7,"Medium","High"))</f>
        <v>Low</v>
      </c>
      <c r="X347" s="1" t="str">
        <f>IF(M347&lt;0.2,"Low",
IF(M347&lt;0.4,"Medium","High"))</f>
        <v>Medium</v>
      </c>
      <c r="Y347" s="1" t="str">
        <f>IF(P347&lt;100,"Low",
IF(P347&lt;300,"Medium","High"))</f>
        <v>Low</v>
      </c>
    </row>
    <row r="348" spans="1:25" x14ac:dyDescent="0.3">
      <c r="A348">
        <v>347</v>
      </c>
      <c r="B348" s="2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  <c r="Q348" t="str">
        <f>VLOOKUP(MasterData[[#This Row],[season]],[1]Lookup!$A$2:$B$5,2,FALSE)</f>
        <v>Spring</v>
      </c>
      <c r="R348" t="str">
        <f>TEXT(DATE(2026,E348,1),"mmmm")</f>
        <v>January</v>
      </c>
      <c r="S348" t="str">
        <f>IF(OR(H348=0,H348=6),"Weekend","Weekday")</f>
        <v>Weekend</v>
      </c>
      <c r="T348" s="1" t="str">
        <f>VLOOKUP(I348,[1]Lookup!$D$2:$E$5,2,FALSE)</f>
        <v>Mist / Cloudy</v>
      </c>
      <c r="U348" s="1" t="str">
        <f>IF(F348&lt;6,"Night",
IF(F348&lt;12,"Morning",
IF(F348&lt;17,"Afternoon",
IF(F348&lt;21,"Evening","Night"))))</f>
        <v>Night</v>
      </c>
      <c r="V348" s="1" t="str">
        <f>IF(J348&lt;0.3,"Cold",
IF(J348&lt;0.6,"Pleasant","Hot"))</f>
        <v>Pleasant</v>
      </c>
      <c r="W348" s="1" t="str">
        <f>IF(L348&lt;0.4,"Low",
IF(L348&lt;0.7,"Medium","High"))</f>
        <v>Medium</v>
      </c>
      <c r="X348" s="1" t="str">
        <f>IF(M348&lt;0.2,"Low",
IF(M348&lt;0.4,"Medium","High"))</f>
        <v>Low</v>
      </c>
      <c r="Y348" s="1" t="str">
        <f>IF(P348&lt;100,"Low",
IF(P348&lt;300,"Medium","High"))</f>
        <v>Low</v>
      </c>
    </row>
    <row r="349" spans="1:25" x14ac:dyDescent="0.3">
      <c r="A349">
        <v>348</v>
      </c>
      <c r="B349" s="2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 t="str">
        <f>VLOOKUP(MasterData[[#This Row],[season]],[1]Lookup!$A$2:$B$5,2,FALSE)</f>
        <v>Spring</v>
      </c>
      <c r="R349" t="str">
        <f>TEXT(DATE(2026,E349,1),"mmmm")</f>
        <v>January</v>
      </c>
      <c r="S349" t="str">
        <f>IF(OR(H349=0,H349=6),"Weekend","Weekday")</f>
        <v>Weekend</v>
      </c>
      <c r="T349" s="1" t="str">
        <f>VLOOKUP(I349,[1]Lookup!$D$2:$E$5,2,FALSE)</f>
        <v>Clear</v>
      </c>
      <c r="U349" s="1" t="str">
        <f>IF(F349&lt;6,"Night",
IF(F349&lt;12,"Morning",
IF(F349&lt;17,"Afternoon",
IF(F349&lt;21,"Evening","Night"))))</f>
        <v>Night</v>
      </c>
      <c r="V349" s="1" t="str">
        <f>IF(J349&lt;0.3,"Cold",
IF(J349&lt;0.6,"Pleasant","Hot"))</f>
        <v>Pleasant</v>
      </c>
      <c r="W349" s="1" t="str">
        <f>IF(L349&lt;0.4,"Low",
IF(L349&lt;0.7,"Medium","High"))</f>
        <v>Medium</v>
      </c>
      <c r="X349" s="1" t="str">
        <f>IF(M349&lt;0.2,"Low",
IF(M349&lt;0.4,"Medium","High"))</f>
        <v>Medium</v>
      </c>
      <c r="Y349" s="1" t="str">
        <f>IF(P349&lt;100,"Low",
IF(P349&lt;300,"Medium","High"))</f>
        <v>Low</v>
      </c>
    </row>
    <row r="350" spans="1:25" x14ac:dyDescent="0.3">
      <c r="A350">
        <v>349</v>
      </c>
      <c r="B350" s="2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 t="str">
        <f>VLOOKUP(MasterData[[#This Row],[season]],[1]Lookup!$A$2:$B$5,2,FALSE)</f>
        <v>Spring</v>
      </c>
      <c r="R350" t="str">
        <f>TEXT(DATE(2026,E350,1),"mmmm")</f>
        <v>January</v>
      </c>
      <c r="S350" t="str">
        <f>IF(OR(H350=0,H350=6),"Weekend","Weekday")</f>
        <v>Weekend</v>
      </c>
      <c r="T350" s="1" t="str">
        <f>VLOOKUP(I350,[1]Lookup!$D$2:$E$5,2,FALSE)</f>
        <v>Clear</v>
      </c>
      <c r="U350" s="1" t="str">
        <f>IF(F350&lt;6,"Night",
IF(F350&lt;12,"Morning",
IF(F350&lt;17,"Afternoon",
IF(F350&lt;21,"Evening","Night"))))</f>
        <v>Night</v>
      </c>
      <c r="V350" s="1" t="str">
        <f>IF(J350&lt;0.3,"Cold",
IF(J350&lt;0.6,"Pleasant","Hot"))</f>
        <v>Cold</v>
      </c>
      <c r="W350" s="1" t="str">
        <f>IF(L350&lt;0.4,"Low",
IF(L350&lt;0.7,"Medium","High"))</f>
        <v>Medium</v>
      </c>
      <c r="X350" s="1" t="str">
        <f>IF(M350&lt;0.2,"Low",
IF(M350&lt;0.4,"Medium","High"))</f>
        <v>Low</v>
      </c>
      <c r="Y350" s="1" t="str">
        <f>IF(P350&lt;100,"Low",
IF(P350&lt;300,"Medium","High"))</f>
        <v>Low</v>
      </c>
    </row>
    <row r="351" spans="1:25" x14ac:dyDescent="0.3">
      <c r="A351">
        <v>350</v>
      </c>
      <c r="B351" s="2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 t="str">
        <f>VLOOKUP(MasterData[[#This Row],[season]],[1]Lookup!$A$2:$B$5,2,FALSE)</f>
        <v>Spring</v>
      </c>
      <c r="R351" t="str">
        <f>TEXT(DATE(2026,E351,1),"mmmm")</f>
        <v>January</v>
      </c>
      <c r="S351" t="str">
        <f>IF(OR(H351=0,H351=6),"Weekend","Weekday")</f>
        <v>Weekend</v>
      </c>
      <c r="T351" s="1" t="str">
        <f>VLOOKUP(I351,[1]Lookup!$D$2:$E$5,2,FALSE)</f>
        <v>Clear</v>
      </c>
      <c r="U351" s="1" t="str">
        <f>IF(F351&lt;6,"Night",
IF(F351&lt;12,"Morning",
IF(F351&lt;17,"Afternoon",
IF(F351&lt;21,"Evening","Night"))))</f>
        <v>Night</v>
      </c>
      <c r="V351" s="1" t="str">
        <f>IF(J351&lt;0.3,"Cold",
IF(J351&lt;0.6,"Pleasant","Hot"))</f>
        <v>Cold</v>
      </c>
      <c r="W351" s="1" t="str">
        <f>IF(L351&lt;0.4,"Low",
IF(L351&lt;0.7,"Medium","High"))</f>
        <v>Medium</v>
      </c>
      <c r="X351" s="1" t="str">
        <f>IF(M351&lt;0.2,"Low",
IF(M351&lt;0.4,"Medium","High"))</f>
        <v>Low</v>
      </c>
      <c r="Y351" s="1" t="str">
        <f>IF(P351&lt;100,"Low",
IF(P351&lt;300,"Medium","High"))</f>
        <v>Low</v>
      </c>
    </row>
    <row r="352" spans="1:25" x14ac:dyDescent="0.3">
      <c r="A352">
        <v>351</v>
      </c>
      <c r="B352" s="2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 t="str">
        <f>VLOOKUP(MasterData[[#This Row],[season]],[1]Lookup!$A$2:$B$5,2,FALSE)</f>
        <v>Spring</v>
      </c>
      <c r="R352" t="str">
        <f>TEXT(DATE(2026,E352,1),"mmmm")</f>
        <v>January</v>
      </c>
      <c r="S352" t="str">
        <f>IF(OR(H352=0,H352=6),"Weekend","Weekday")</f>
        <v>Weekend</v>
      </c>
      <c r="T352" s="1" t="str">
        <f>VLOOKUP(I352,[1]Lookup!$D$2:$E$5,2,FALSE)</f>
        <v>Clear</v>
      </c>
      <c r="U352" s="1" t="str">
        <f>IF(F352&lt;6,"Night",
IF(F352&lt;12,"Morning",
IF(F352&lt;17,"Afternoon",
IF(F352&lt;21,"Evening","Night"))))</f>
        <v>Night</v>
      </c>
      <c r="V352" s="1" t="str">
        <f>IF(J352&lt;0.3,"Cold",
IF(J352&lt;0.6,"Pleasant","Hot"))</f>
        <v>Cold</v>
      </c>
      <c r="W352" s="1" t="str">
        <f>IF(L352&lt;0.4,"Low",
IF(L352&lt;0.7,"Medium","High"))</f>
        <v>Medium</v>
      </c>
      <c r="X352" s="1" t="str">
        <f>IF(M352&lt;0.2,"Low",
IF(M352&lt;0.4,"Medium","High"))</f>
        <v>Low</v>
      </c>
      <c r="Y352" s="1" t="str">
        <f>IF(P352&lt;100,"Low",
IF(P352&lt;300,"Medium","High"))</f>
        <v>Low</v>
      </c>
    </row>
    <row r="353" spans="1:25" x14ac:dyDescent="0.3">
      <c r="A353">
        <v>352</v>
      </c>
      <c r="B353" s="2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  <c r="Q353" t="str">
        <f>VLOOKUP(MasterData[[#This Row],[season]],[1]Lookup!$A$2:$B$5,2,FALSE)</f>
        <v>Spring</v>
      </c>
      <c r="R353" t="str">
        <f>TEXT(DATE(2026,E353,1),"mmmm")</f>
        <v>January</v>
      </c>
      <c r="S353" t="str">
        <f>IF(OR(H353=0,H353=6),"Weekend","Weekday")</f>
        <v>Weekend</v>
      </c>
      <c r="T353" s="1" t="str">
        <f>VLOOKUP(I353,[1]Lookup!$D$2:$E$5,2,FALSE)</f>
        <v>Clear</v>
      </c>
      <c r="U353" s="1" t="str">
        <f>IF(F353&lt;6,"Night",
IF(F353&lt;12,"Morning",
IF(F353&lt;17,"Afternoon",
IF(F353&lt;21,"Evening","Night"))))</f>
        <v>Night</v>
      </c>
      <c r="V353" s="1" t="str">
        <f>IF(J353&lt;0.3,"Cold",
IF(J353&lt;0.6,"Pleasant","Hot"))</f>
        <v>Cold</v>
      </c>
      <c r="W353" s="1" t="str">
        <f>IF(L353&lt;0.4,"Low",
IF(L353&lt;0.7,"Medium","High"))</f>
        <v>Medium</v>
      </c>
      <c r="X353" s="1" t="str">
        <f>IF(M353&lt;0.2,"Low",
IF(M353&lt;0.4,"Medium","High"))</f>
        <v>Low</v>
      </c>
      <c r="Y353" s="1" t="str">
        <f>IF(P353&lt;100,"Low",
IF(P353&lt;300,"Medium","High"))</f>
        <v>Low</v>
      </c>
    </row>
    <row r="354" spans="1:25" x14ac:dyDescent="0.3">
      <c r="A354">
        <v>353</v>
      </c>
      <c r="B354" s="2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 t="str">
        <f>VLOOKUP(MasterData[[#This Row],[season]],[1]Lookup!$A$2:$B$5,2,FALSE)</f>
        <v>Spring</v>
      </c>
      <c r="R354" t="str">
        <f>TEXT(DATE(2026,E354,1),"mmmm")</f>
        <v>January</v>
      </c>
      <c r="S354" t="str">
        <f>IF(OR(H354=0,H354=6),"Weekend","Weekday")</f>
        <v>Weekend</v>
      </c>
      <c r="T354" s="1" t="str">
        <f>VLOOKUP(I354,[1]Lookup!$D$2:$E$5,2,FALSE)</f>
        <v>Clear</v>
      </c>
      <c r="U354" s="1" t="str">
        <f>IF(F354&lt;6,"Night",
IF(F354&lt;12,"Morning",
IF(F354&lt;17,"Afternoon",
IF(F354&lt;21,"Evening","Night"))))</f>
        <v>Night</v>
      </c>
      <c r="V354" s="1" t="str">
        <f>IF(J354&lt;0.3,"Cold",
IF(J354&lt;0.6,"Pleasant","Hot"))</f>
        <v>Cold</v>
      </c>
      <c r="W354" s="1" t="str">
        <f>IF(L354&lt;0.4,"Low",
IF(L354&lt;0.7,"Medium","High"))</f>
        <v>Medium</v>
      </c>
      <c r="X354" s="1" t="str">
        <f>IF(M354&lt;0.2,"Low",
IF(M354&lt;0.4,"Medium","High"))</f>
        <v>Low</v>
      </c>
      <c r="Y354" s="1" t="str">
        <f>IF(P354&lt;100,"Low",
IF(P354&lt;300,"Medium","High"))</f>
        <v>Low</v>
      </c>
    </row>
    <row r="355" spans="1:25" x14ac:dyDescent="0.3">
      <c r="A355">
        <v>354</v>
      </c>
      <c r="B355" s="2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 t="str">
        <f>VLOOKUP(MasterData[[#This Row],[season]],[1]Lookup!$A$2:$B$5,2,FALSE)</f>
        <v>Spring</v>
      </c>
      <c r="R355" t="str">
        <f>TEXT(DATE(2026,E355,1),"mmmm")</f>
        <v>January</v>
      </c>
      <c r="S355" t="str">
        <f>IF(OR(H355=0,H355=6),"Weekend","Weekday")</f>
        <v>Weekend</v>
      </c>
      <c r="T355" s="1" t="str">
        <f>VLOOKUP(I355,[1]Lookup!$D$2:$E$5,2,FALSE)</f>
        <v>Mist / Cloudy</v>
      </c>
      <c r="U355" s="1" t="str">
        <f>IF(F355&lt;6,"Night",
IF(F355&lt;12,"Morning",
IF(F355&lt;17,"Afternoon",
IF(F355&lt;21,"Evening","Night"))))</f>
        <v>Night</v>
      </c>
      <c r="V355" s="1" t="str">
        <f>IF(J355&lt;0.3,"Cold",
IF(J355&lt;0.6,"Pleasant","Hot"))</f>
        <v>Cold</v>
      </c>
      <c r="W355" s="1" t="str">
        <f>IF(L355&lt;0.4,"Low",
IF(L355&lt;0.7,"Medium","High"))</f>
        <v>Medium</v>
      </c>
      <c r="X355" s="1" t="str">
        <f>IF(M355&lt;0.2,"Low",
IF(M355&lt;0.4,"Medium","High"))</f>
        <v>Low</v>
      </c>
      <c r="Y355" s="1" t="str">
        <f>IF(P355&lt;100,"Low",
IF(P355&lt;300,"Medium","High"))</f>
        <v>Low</v>
      </c>
    </row>
    <row r="356" spans="1:25" x14ac:dyDescent="0.3">
      <c r="A356">
        <v>355</v>
      </c>
      <c r="B356" s="2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 t="str">
        <f>VLOOKUP(MasterData[[#This Row],[season]],[1]Lookup!$A$2:$B$5,2,FALSE)</f>
        <v>Spring</v>
      </c>
      <c r="R356" t="str">
        <f>TEXT(DATE(2026,E356,1),"mmmm")</f>
        <v>January</v>
      </c>
      <c r="S356" t="str">
        <f>IF(OR(H356=0,H356=6),"Weekend","Weekday")</f>
        <v>Weekend</v>
      </c>
      <c r="T356" s="1" t="str">
        <f>VLOOKUP(I356,[1]Lookup!$D$2:$E$5,2,FALSE)</f>
        <v>Mist / Cloudy</v>
      </c>
      <c r="U356" s="1" t="str">
        <f>IF(F356&lt;6,"Night",
IF(F356&lt;12,"Morning",
IF(F356&lt;17,"Afternoon",
IF(F356&lt;21,"Evening","Night"))))</f>
        <v>Morning</v>
      </c>
      <c r="V356" s="1" t="str">
        <f>IF(J356&lt;0.3,"Cold",
IF(J356&lt;0.6,"Pleasant","Hot"))</f>
        <v>Cold</v>
      </c>
      <c r="W356" s="1" t="str">
        <f>IF(L356&lt;0.4,"Low",
IF(L356&lt;0.7,"Medium","High"))</f>
        <v>Medium</v>
      </c>
      <c r="X356" s="1" t="str">
        <f>IF(M356&lt;0.2,"Low",
IF(M356&lt;0.4,"Medium","High"))</f>
        <v>Low</v>
      </c>
      <c r="Y356" s="1" t="str">
        <f>IF(P356&lt;100,"Low",
IF(P356&lt;300,"Medium","High"))</f>
        <v>Low</v>
      </c>
    </row>
    <row r="357" spans="1:25" x14ac:dyDescent="0.3">
      <c r="A357">
        <v>356</v>
      </c>
      <c r="B357" s="2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 t="str">
        <f>VLOOKUP(MasterData[[#This Row],[season]],[1]Lookup!$A$2:$B$5,2,FALSE)</f>
        <v>Spring</v>
      </c>
      <c r="R357" t="str">
        <f>TEXT(DATE(2026,E357,1),"mmmm")</f>
        <v>January</v>
      </c>
      <c r="S357" t="str">
        <f>IF(OR(H357=0,H357=6),"Weekend","Weekday")</f>
        <v>Weekend</v>
      </c>
      <c r="T357" s="1" t="str">
        <f>VLOOKUP(I357,[1]Lookup!$D$2:$E$5,2,FALSE)</f>
        <v>Mist / Cloudy</v>
      </c>
      <c r="U357" s="1" t="str">
        <f>IF(F357&lt;6,"Night",
IF(F357&lt;12,"Morning",
IF(F357&lt;17,"Afternoon",
IF(F357&lt;21,"Evening","Night"))))</f>
        <v>Morning</v>
      </c>
      <c r="V357" s="1" t="str">
        <f>IF(J357&lt;0.3,"Cold",
IF(J357&lt;0.6,"Pleasant","Hot"))</f>
        <v>Cold</v>
      </c>
      <c r="W357" s="1" t="str">
        <f>IF(L357&lt;0.4,"Low",
IF(L357&lt;0.7,"Medium","High"))</f>
        <v>Medium</v>
      </c>
      <c r="X357" s="1" t="str">
        <f>IF(M357&lt;0.2,"Low",
IF(M357&lt;0.4,"Medium","High"))</f>
        <v>Medium</v>
      </c>
      <c r="Y357" s="1" t="str">
        <f>IF(P357&lt;100,"Low",
IF(P357&lt;300,"Medium","High"))</f>
        <v>Low</v>
      </c>
    </row>
    <row r="358" spans="1:25" x14ac:dyDescent="0.3">
      <c r="A358">
        <v>357</v>
      </c>
      <c r="B358" s="2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 t="str">
        <f>VLOOKUP(MasterData[[#This Row],[season]],[1]Lookup!$A$2:$B$5,2,FALSE)</f>
        <v>Spring</v>
      </c>
      <c r="R358" t="str">
        <f>TEXT(DATE(2026,E358,1),"mmmm")</f>
        <v>January</v>
      </c>
      <c r="S358" t="str">
        <f>IF(OR(H358=0,H358=6),"Weekend","Weekday")</f>
        <v>Weekend</v>
      </c>
      <c r="T358" s="1" t="str">
        <f>VLOOKUP(I358,[1]Lookup!$D$2:$E$5,2,FALSE)</f>
        <v>Clear</v>
      </c>
      <c r="U358" s="1" t="str">
        <f>IF(F358&lt;6,"Night",
IF(F358&lt;12,"Morning",
IF(F358&lt;17,"Afternoon",
IF(F358&lt;21,"Evening","Night"))))</f>
        <v>Morning</v>
      </c>
      <c r="V358" s="1" t="str">
        <f>IF(J358&lt;0.3,"Cold",
IF(J358&lt;0.6,"Pleasant","Hot"))</f>
        <v>Cold</v>
      </c>
      <c r="W358" s="1" t="str">
        <f>IF(L358&lt;0.4,"Low",
IF(L358&lt;0.7,"Medium","High"))</f>
        <v>Medium</v>
      </c>
      <c r="X358" s="1" t="str">
        <f>IF(M358&lt;0.2,"Low",
IF(M358&lt;0.4,"Medium","High"))</f>
        <v>Medium</v>
      </c>
      <c r="Y358" s="1" t="str">
        <f>IF(P358&lt;100,"Low",
IF(P358&lt;300,"Medium","High"))</f>
        <v>Low</v>
      </c>
    </row>
    <row r="359" spans="1:25" x14ac:dyDescent="0.3">
      <c r="A359">
        <v>358</v>
      </c>
      <c r="B359" s="2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 t="str">
        <f>VLOOKUP(MasterData[[#This Row],[season]],[1]Lookup!$A$2:$B$5,2,FALSE)</f>
        <v>Spring</v>
      </c>
      <c r="R359" t="str">
        <f>TEXT(DATE(2026,E359,1),"mmmm")</f>
        <v>January</v>
      </c>
      <c r="S359" t="str">
        <f>IF(OR(H359=0,H359=6),"Weekend","Weekday")</f>
        <v>Weekend</v>
      </c>
      <c r="T359" s="1" t="str">
        <f>VLOOKUP(I359,[1]Lookup!$D$2:$E$5,2,FALSE)</f>
        <v>Clear</v>
      </c>
      <c r="U359" s="1" t="str">
        <f>IF(F359&lt;6,"Night",
IF(F359&lt;12,"Morning",
IF(F359&lt;17,"Afternoon",
IF(F359&lt;21,"Evening","Night"))))</f>
        <v>Morning</v>
      </c>
      <c r="V359" s="1" t="str">
        <f>IF(J359&lt;0.3,"Cold",
IF(J359&lt;0.6,"Pleasant","Hot"))</f>
        <v>Cold</v>
      </c>
      <c r="W359" s="1" t="str">
        <f>IF(L359&lt;0.4,"Low",
IF(L359&lt;0.7,"Medium","High"))</f>
        <v>Medium</v>
      </c>
      <c r="X359" s="1" t="str">
        <f>IF(M359&lt;0.2,"Low",
IF(M359&lt;0.4,"Medium","High"))</f>
        <v>Medium</v>
      </c>
      <c r="Y359" s="1" t="str">
        <f>IF(P359&lt;100,"Low",
IF(P359&lt;300,"Medium","High"))</f>
        <v>Low</v>
      </c>
    </row>
    <row r="360" spans="1:25" x14ac:dyDescent="0.3">
      <c r="A360">
        <v>359</v>
      </c>
      <c r="B360" s="2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 t="str">
        <f>VLOOKUP(MasterData[[#This Row],[season]],[1]Lookup!$A$2:$B$5,2,FALSE)</f>
        <v>Spring</v>
      </c>
      <c r="R360" t="str">
        <f>TEXT(DATE(2026,E360,1),"mmmm")</f>
        <v>January</v>
      </c>
      <c r="S360" t="str">
        <f>IF(OR(H360=0,H360=6),"Weekend","Weekday")</f>
        <v>Weekend</v>
      </c>
      <c r="T360" s="1" t="str">
        <f>VLOOKUP(I360,[1]Lookup!$D$2:$E$5,2,FALSE)</f>
        <v>Clear</v>
      </c>
      <c r="U360" s="1" t="str">
        <f>IF(F360&lt;6,"Night",
IF(F360&lt;12,"Morning",
IF(F360&lt;17,"Afternoon",
IF(F360&lt;21,"Evening","Night"))))</f>
        <v>Morning</v>
      </c>
      <c r="V360" s="1" t="str">
        <f>IF(J360&lt;0.3,"Cold",
IF(J360&lt;0.6,"Pleasant","Hot"))</f>
        <v>Cold</v>
      </c>
      <c r="W360" s="1" t="str">
        <f>IF(L360&lt;0.4,"Low",
IF(L360&lt;0.7,"Medium","High"))</f>
        <v>Medium</v>
      </c>
      <c r="X360" s="1" t="str">
        <f>IF(M360&lt;0.2,"Low",
IF(M360&lt;0.4,"Medium","High"))</f>
        <v>Medium</v>
      </c>
      <c r="Y360" s="1" t="str">
        <f>IF(P360&lt;100,"Low",
IF(P360&lt;300,"Medium","High"))</f>
        <v>Low</v>
      </c>
    </row>
    <row r="361" spans="1:25" x14ac:dyDescent="0.3">
      <c r="A361">
        <v>360</v>
      </c>
      <c r="B361" s="2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 t="str">
        <f>VLOOKUP(MasterData[[#This Row],[season]],[1]Lookup!$A$2:$B$5,2,FALSE)</f>
        <v>Spring</v>
      </c>
      <c r="R361" t="str">
        <f>TEXT(DATE(2026,E361,1),"mmmm")</f>
        <v>January</v>
      </c>
      <c r="S361" t="str">
        <f>IF(OR(H361=0,H361=6),"Weekend","Weekday")</f>
        <v>Weekend</v>
      </c>
      <c r="T361" s="1" t="str">
        <f>VLOOKUP(I361,[1]Lookup!$D$2:$E$5,2,FALSE)</f>
        <v>Clear</v>
      </c>
      <c r="U361" s="1" t="str">
        <f>IF(F361&lt;6,"Night",
IF(F361&lt;12,"Morning",
IF(F361&lt;17,"Afternoon",
IF(F361&lt;21,"Evening","Night"))))</f>
        <v>Morning</v>
      </c>
      <c r="V361" s="1" t="str">
        <f>IF(J361&lt;0.3,"Cold",
IF(J361&lt;0.6,"Pleasant","Hot"))</f>
        <v>Cold</v>
      </c>
      <c r="W361" s="1" t="str">
        <f>IF(L361&lt;0.4,"Low",
IF(L361&lt;0.7,"Medium","High"))</f>
        <v>Medium</v>
      </c>
      <c r="X361" s="1" t="str">
        <f>IF(M361&lt;0.2,"Low",
IF(M361&lt;0.4,"Medium","High"))</f>
        <v>Medium</v>
      </c>
      <c r="Y361" s="1" t="str">
        <f>IF(P361&lt;100,"Low",
IF(P361&lt;300,"Medium","High"))</f>
        <v>Low</v>
      </c>
    </row>
    <row r="362" spans="1:25" x14ac:dyDescent="0.3">
      <c r="A362">
        <v>361</v>
      </c>
      <c r="B362" s="2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 t="str">
        <f>VLOOKUP(MasterData[[#This Row],[season]],[1]Lookup!$A$2:$B$5,2,FALSE)</f>
        <v>Spring</v>
      </c>
      <c r="R362" t="str">
        <f>TEXT(DATE(2026,E362,1),"mmmm")</f>
        <v>January</v>
      </c>
      <c r="S362" t="str">
        <f>IF(OR(H362=0,H362=6),"Weekend","Weekday")</f>
        <v>Weekend</v>
      </c>
      <c r="T362" s="1" t="str">
        <f>VLOOKUP(I362,[1]Lookup!$D$2:$E$5,2,FALSE)</f>
        <v>Clear</v>
      </c>
      <c r="U362" s="1" t="str">
        <f>IF(F362&lt;6,"Night",
IF(F362&lt;12,"Morning",
IF(F362&lt;17,"Afternoon",
IF(F362&lt;21,"Evening","Night"))))</f>
        <v>Afternoon</v>
      </c>
      <c r="V362" s="1" t="str">
        <f>IF(J362&lt;0.3,"Cold",
IF(J362&lt;0.6,"Pleasant","Hot"))</f>
        <v>Cold</v>
      </c>
      <c r="W362" s="1" t="str">
        <f>IF(L362&lt;0.4,"Low",
IF(L362&lt;0.7,"Medium","High"))</f>
        <v>Medium</v>
      </c>
      <c r="X362" s="1" t="str">
        <f>IF(M362&lt;0.2,"Low",
IF(M362&lt;0.4,"Medium","High"))</f>
        <v>Medium</v>
      </c>
      <c r="Y362" s="1" t="str">
        <f>IF(P362&lt;100,"Low",
IF(P362&lt;300,"Medium","High"))</f>
        <v>Medium</v>
      </c>
    </row>
    <row r="363" spans="1:25" x14ac:dyDescent="0.3">
      <c r="A363">
        <v>362</v>
      </c>
      <c r="B363" s="2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 t="str">
        <f>VLOOKUP(MasterData[[#This Row],[season]],[1]Lookup!$A$2:$B$5,2,FALSE)</f>
        <v>Spring</v>
      </c>
      <c r="R363" t="str">
        <f>TEXT(DATE(2026,E363,1),"mmmm")</f>
        <v>January</v>
      </c>
      <c r="S363" t="str">
        <f>IF(OR(H363=0,H363=6),"Weekend","Weekday")</f>
        <v>Weekend</v>
      </c>
      <c r="T363" s="1" t="str">
        <f>VLOOKUP(I363,[1]Lookup!$D$2:$E$5,2,FALSE)</f>
        <v>Clear</v>
      </c>
      <c r="U363" s="1" t="str">
        <f>IF(F363&lt;6,"Night",
IF(F363&lt;12,"Morning",
IF(F363&lt;17,"Afternoon",
IF(F363&lt;21,"Evening","Night"))))</f>
        <v>Afternoon</v>
      </c>
      <c r="V363" s="1" t="str">
        <f>IF(J363&lt;0.3,"Cold",
IF(J363&lt;0.6,"Pleasant","Hot"))</f>
        <v>Cold</v>
      </c>
      <c r="W363" s="1" t="str">
        <f>IF(L363&lt;0.4,"Low",
IF(L363&lt;0.7,"Medium","High"))</f>
        <v>Low</v>
      </c>
      <c r="X363" s="1" t="str">
        <f>IF(M363&lt;0.2,"Low",
IF(M363&lt;0.4,"Medium","High"))</f>
        <v>Medium</v>
      </c>
      <c r="Y363" s="1" t="str">
        <f>IF(P363&lt;100,"Low",
IF(P363&lt;300,"Medium","High"))</f>
        <v>Medium</v>
      </c>
    </row>
    <row r="364" spans="1:25" x14ac:dyDescent="0.3">
      <c r="A364">
        <v>363</v>
      </c>
      <c r="B364" s="2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 t="str">
        <f>VLOOKUP(MasterData[[#This Row],[season]],[1]Lookup!$A$2:$B$5,2,FALSE)</f>
        <v>Spring</v>
      </c>
      <c r="R364" t="str">
        <f>TEXT(DATE(2026,E364,1),"mmmm")</f>
        <v>January</v>
      </c>
      <c r="S364" t="str">
        <f>IF(OR(H364=0,H364=6),"Weekend","Weekday")</f>
        <v>Weekend</v>
      </c>
      <c r="T364" s="1" t="str">
        <f>VLOOKUP(I364,[1]Lookup!$D$2:$E$5,2,FALSE)</f>
        <v>Clear</v>
      </c>
      <c r="U364" s="1" t="str">
        <f>IF(F364&lt;6,"Night",
IF(F364&lt;12,"Morning",
IF(F364&lt;17,"Afternoon",
IF(F364&lt;21,"Evening","Night"))))</f>
        <v>Afternoon</v>
      </c>
      <c r="V364" s="1" t="str">
        <f>IF(J364&lt;0.3,"Cold",
IF(J364&lt;0.6,"Pleasant","Hot"))</f>
        <v>Cold</v>
      </c>
      <c r="W364" s="1" t="str">
        <f>IF(L364&lt;0.4,"Low",
IF(L364&lt;0.7,"Medium","High"))</f>
        <v>Low</v>
      </c>
      <c r="X364" s="1" t="str">
        <f>IF(M364&lt;0.2,"Low",
IF(M364&lt;0.4,"Medium","High"))</f>
        <v>Medium</v>
      </c>
      <c r="Y364" s="1" t="str">
        <f>IF(P364&lt;100,"Low",
IF(P364&lt;300,"Medium","High"))</f>
        <v>Low</v>
      </c>
    </row>
    <row r="365" spans="1:25" x14ac:dyDescent="0.3">
      <c r="A365">
        <v>364</v>
      </c>
      <c r="B365" s="2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 t="str">
        <f>VLOOKUP(MasterData[[#This Row],[season]],[1]Lookup!$A$2:$B$5,2,FALSE)</f>
        <v>Spring</v>
      </c>
      <c r="R365" t="str">
        <f>TEXT(DATE(2026,E365,1),"mmmm")</f>
        <v>January</v>
      </c>
      <c r="S365" t="str">
        <f>IF(OR(H365=0,H365=6),"Weekend","Weekday")</f>
        <v>Weekend</v>
      </c>
      <c r="T365" s="1" t="str">
        <f>VLOOKUP(I365,[1]Lookup!$D$2:$E$5,2,FALSE)</f>
        <v>Clear</v>
      </c>
      <c r="U365" s="1" t="str">
        <f>IF(F365&lt;6,"Night",
IF(F365&lt;12,"Morning",
IF(F365&lt;17,"Afternoon",
IF(F365&lt;21,"Evening","Night"))))</f>
        <v>Afternoon</v>
      </c>
      <c r="V365" s="1" t="str">
        <f>IF(J365&lt;0.3,"Cold",
IF(J365&lt;0.6,"Pleasant","Hot"))</f>
        <v>Cold</v>
      </c>
      <c r="W365" s="1" t="str">
        <f>IF(L365&lt;0.4,"Low",
IF(L365&lt;0.7,"Medium","High"))</f>
        <v>Low</v>
      </c>
      <c r="X365" s="1" t="str">
        <f>IF(M365&lt;0.2,"Low",
IF(M365&lt;0.4,"Medium","High"))</f>
        <v>Medium</v>
      </c>
      <c r="Y365" s="1" t="str">
        <f>IF(P365&lt;100,"Low",
IF(P365&lt;300,"Medium","High"))</f>
        <v>Medium</v>
      </c>
    </row>
    <row r="366" spans="1:25" x14ac:dyDescent="0.3">
      <c r="A366">
        <v>365</v>
      </c>
      <c r="B366" s="2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 t="str">
        <f>VLOOKUP(MasterData[[#This Row],[season]],[1]Lookup!$A$2:$B$5,2,FALSE)</f>
        <v>Spring</v>
      </c>
      <c r="R366" t="str">
        <f>TEXT(DATE(2026,E366,1),"mmmm")</f>
        <v>January</v>
      </c>
      <c r="S366" t="str">
        <f>IF(OR(H366=0,H366=6),"Weekend","Weekday")</f>
        <v>Weekend</v>
      </c>
      <c r="T366" s="1" t="str">
        <f>VLOOKUP(I366,[1]Lookup!$D$2:$E$5,2,FALSE)</f>
        <v>Clear</v>
      </c>
      <c r="U366" s="1" t="str">
        <f>IF(F366&lt;6,"Night",
IF(F366&lt;12,"Morning",
IF(F366&lt;17,"Afternoon",
IF(F366&lt;21,"Evening","Night"))))</f>
        <v>Afternoon</v>
      </c>
      <c r="V366" s="1" t="str">
        <f>IF(J366&lt;0.3,"Cold",
IF(J366&lt;0.6,"Pleasant","Hot"))</f>
        <v>Cold</v>
      </c>
      <c r="W366" s="1" t="str">
        <f>IF(L366&lt;0.4,"Low",
IF(L366&lt;0.7,"Medium","High"))</f>
        <v>Low</v>
      </c>
      <c r="X366" s="1" t="str">
        <f>IF(M366&lt;0.2,"Low",
IF(M366&lt;0.4,"Medium","High"))</f>
        <v>Medium</v>
      </c>
      <c r="Y366" s="1" t="str">
        <f>IF(P366&lt;100,"Low",
IF(P366&lt;300,"Medium","High"))</f>
        <v>Low</v>
      </c>
    </row>
    <row r="367" spans="1:25" x14ac:dyDescent="0.3">
      <c r="A367">
        <v>366</v>
      </c>
      <c r="B367" s="2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 t="str">
        <f>VLOOKUP(MasterData[[#This Row],[season]],[1]Lookup!$A$2:$B$5,2,FALSE)</f>
        <v>Spring</v>
      </c>
      <c r="R367" t="str">
        <f>TEXT(DATE(2026,E367,1),"mmmm")</f>
        <v>January</v>
      </c>
      <c r="S367" t="str">
        <f>IF(OR(H367=0,H367=6),"Weekend","Weekday")</f>
        <v>Weekend</v>
      </c>
      <c r="T367" s="1" t="str">
        <f>VLOOKUP(I367,[1]Lookup!$D$2:$E$5,2,FALSE)</f>
        <v>Clear</v>
      </c>
      <c r="U367" s="1" t="str">
        <f>IF(F367&lt;6,"Night",
IF(F367&lt;12,"Morning",
IF(F367&lt;17,"Afternoon",
IF(F367&lt;21,"Evening","Night"))))</f>
        <v>Evening</v>
      </c>
      <c r="V367" s="1" t="str">
        <f>IF(J367&lt;0.3,"Cold",
IF(J367&lt;0.6,"Pleasant","Hot"))</f>
        <v>Cold</v>
      </c>
      <c r="W367" s="1" t="str">
        <f>IF(L367&lt;0.4,"Low",
IF(L367&lt;0.7,"Medium","High"))</f>
        <v>Low</v>
      </c>
      <c r="X367" s="1" t="str">
        <f>IF(M367&lt;0.2,"Low",
IF(M367&lt;0.4,"Medium","High"))</f>
        <v>Medium</v>
      </c>
      <c r="Y367" s="1" t="str">
        <f>IF(P367&lt;100,"Low",
IF(P367&lt;300,"Medium","High"))</f>
        <v>Medium</v>
      </c>
    </row>
    <row r="368" spans="1:25" x14ac:dyDescent="0.3">
      <c r="A368">
        <v>367</v>
      </c>
      <c r="B368" s="2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 t="str">
        <f>VLOOKUP(MasterData[[#This Row],[season]],[1]Lookup!$A$2:$B$5,2,FALSE)</f>
        <v>Spring</v>
      </c>
      <c r="R368" t="str">
        <f>TEXT(DATE(2026,E368,1),"mmmm")</f>
        <v>January</v>
      </c>
      <c r="S368" t="str">
        <f>IF(OR(H368=0,H368=6),"Weekend","Weekday")</f>
        <v>Weekend</v>
      </c>
      <c r="T368" s="1" t="str">
        <f>VLOOKUP(I368,[1]Lookup!$D$2:$E$5,2,FALSE)</f>
        <v>Clear</v>
      </c>
      <c r="U368" s="1" t="str">
        <f>IF(F368&lt;6,"Night",
IF(F368&lt;12,"Morning",
IF(F368&lt;17,"Afternoon",
IF(F368&lt;21,"Evening","Night"))))</f>
        <v>Evening</v>
      </c>
      <c r="V368" s="1" t="str">
        <f>IF(J368&lt;0.3,"Cold",
IF(J368&lt;0.6,"Pleasant","Hot"))</f>
        <v>Cold</v>
      </c>
      <c r="W368" s="1" t="str">
        <f>IF(L368&lt;0.4,"Low",
IF(L368&lt;0.7,"Medium","High"))</f>
        <v>Medium</v>
      </c>
      <c r="X368" s="1" t="str">
        <f>IF(M368&lt;0.2,"Low",
IF(M368&lt;0.4,"Medium","High"))</f>
        <v>Low</v>
      </c>
      <c r="Y368" s="1" t="str">
        <f>IF(P368&lt;100,"Low",
IF(P368&lt;300,"Medium","High"))</f>
        <v>Low</v>
      </c>
    </row>
    <row r="369" spans="1:25" x14ac:dyDescent="0.3">
      <c r="A369">
        <v>368</v>
      </c>
      <c r="B369" s="2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 t="str">
        <f>VLOOKUP(MasterData[[#This Row],[season]],[1]Lookup!$A$2:$B$5,2,FALSE)</f>
        <v>Spring</v>
      </c>
      <c r="R369" t="str">
        <f>TEXT(DATE(2026,E369,1),"mmmm")</f>
        <v>January</v>
      </c>
      <c r="S369" t="str">
        <f>IF(OR(H369=0,H369=6),"Weekend","Weekday")</f>
        <v>Weekend</v>
      </c>
      <c r="T369" s="1" t="str">
        <f>VLOOKUP(I369,[1]Lookup!$D$2:$E$5,2,FALSE)</f>
        <v>Clear</v>
      </c>
      <c r="U369" s="1" t="str">
        <f>IF(F369&lt;6,"Night",
IF(F369&lt;12,"Morning",
IF(F369&lt;17,"Afternoon",
IF(F369&lt;21,"Evening","Night"))))</f>
        <v>Evening</v>
      </c>
      <c r="V369" s="1" t="str">
        <f>IF(J369&lt;0.3,"Cold",
IF(J369&lt;0.6,"Pleasant","Hot"))</f>
        <v>Cold</v>
      </c>
      <c r="W369" s="1" t="str">
        <f>IF(L369&lt;0.4,"Low",
IF(L369&lt;0.7,"Medium","High"))</f>
        <v>Medium</v>
      </c>
      <c r="X369" s="1" t="str">
        <f>IF(M369&lt;0.2,"Low",
IF(M369&lt;0.4,"Medium","High"))</f>
        <v>Low</v>
      </c>
      <c r="Y369" s="1" t="str">
        <f>IF(P369&lt;100,"Low",
IF(P369&lt;300,"Medium","High"))</f>
        <v>Low</v>
      </c>
    </row>
    <row r="370" spans="1:25" x14ac:dyDescent="0.3">
      <c r="A370">
        <v>369</v>
      </c>
      <c r="B370" s="2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 t="str">
        <f>VLOOKUP(MasterData[[#This Row],[season]],[1]Lookup!$A$2:$B$5,2,FALSE)</f>
        <v>Spring</v>
      </c>
      <c r="R370" t="str">
        <f>TEXT(DATE(2026,E370,1),"mmmm")</f>
        <v>January</v>
      </c>
      <c r="S370" t="str">
        <f>IF(OR(H370=0,H370=6),"Weekend","Weekday")</f>
        <v>Weekend</v>
      </c>
      <c r="T370" s="1" t="str">
        <f>VLOOKUP(I370,[1]Lookup!$D$2:$E$5,2,FALSE)</f>
        <v>Clear</v>
      </c>
      <c r="U370" s="1" t="str">
        <f>IF(F370&lt;6,"Night",
IF(F370&lt;12,"Morning",
IF(F370&lt;17,"Afternoon",
IF(F370&lt;21,"Evening","Night"))))</f>
        <v>Evening</v>
      </c>
      <c r="V370" s="1" t="str">
        <f>IF(J370&lt;0.3,"Cold",
IF(J370&lt;0.6,"Pleasant","Hot"))</f>
        <v>Cold</v>
      </c>
      <c r="W370" s="1" t="str">
        <f>IF(L370&lt;0.4,"Low",
IF(L370&lt;0.7,"Medium","High"))</f>
        <v>Medium</v>
      </c>
      <c r="X370" s="1" t="str">
        <f>IF(M370&lt;0.2,"Low",
IF(M370&lt;0.4,"Medium","High"))</f>
        <v>Low</v>
      </c>
      <c r="Y370" s="1" t="str">
        <f>IF(P370&lt;100,"Low",
IF(P370&lt;300,"Medium","High"))</f>
        <v>Low</v>
      </c>
    </row>
    <row r="371" spans="1:25" x14ac:dyDescent="0.3">
      <c r="A371">
        <v>370</v>
      </c>
      <c r="B371" s="2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 t="str">
        <f>VLOOKUP(MasterData[[#This Row],[season]],[1]Lookup!$A$2:$B$5,2,FALSE)</f>
        <v>Spring</v>
      </c>
      <c r="R371" t="str">
        <f>TEXT(DATE(2026,E371,1),"mmmm")</f>
        <v>January</v>
      </c>
      <c r="S371" t="str">
        <f>IF(OR(H371=0,H371=6),"Weekend","Weekday")</f>
        <v>Weekend</v>
      </c>
      <c r="T371" s="1" t="str">
        <f>VLOOKUP(I371,[1]Lookup!$D$2:$E$5,2,FALSE)</f>
        <v>Clear</v>
      </c>
      <c r="U371" s="1" t="str">
        <f>IF(F371&lt;6,"Night",
IF(F371&lt;12,"Morning",
IF(F371&lt;17,"Afternoon",
IF(F371&lt;21,"Evening","Night"))))</f>
        <v>Night</v>
      </c>
      <c r="V371" s="1" t="str">
        <f>IF(J371&lt;0.3,"Cold",
IF(J371&lt;0.6,"Pleasant","Hot"))</f>
        <v>Cold</v>
      </c>
      <c r="W371" s="1" t="str">
        <f>IF(L371&lt;0.4,"Low",
IF(L371&lt;0.7,"Medium","High"))</f>
        <v>Medium</v>
      </c>
      <c r="X371" s="1" t="str">
        <f>IF(M371&lt;0.2,"Low",
IF(M371&lt;0.4,"Medium","High"))</f>
        <v>Low</v>
      </c>
      <c r="Y371" s="1" t="str">
        <f>IF(P371&lt;100,"Low",
IF(P371&lt;300,"Medium","High"))</f>
        <v>Low</v>
      </c>
    </row>
    <row r="372" spans="1:25" x14ac:dyDescent="0.3">
      <c r="A372">
        <v>371</v>
      </c>
      <c r="B372" s="2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  <c r="Q372" t="str">
        <f>VLOOKUP(MasterData[[#This Row],[season]],[1]Lookup!$A$2:$B$5,2,FALSE)</f>
        <v>Spring</v>
      </c>
      <c r="R372" t="str">
        <f>TEXT(DATE(2026,E372,1),"mmmm")</f>
        <v>January</v>
      </c>
      <c r="S372" t="str">
        <f>IF(OR(H372=0,H372=6),"Weekend","Weekday")</f>
        <v>Weekend</v>
      </c>
      <c r="T372" s="1" t="str">
        <f>VLOOKUP(I372,[1]Lookup!$D$2:$E$5,2,FALSE)</f>
        <v>Mist / Cloudy</v>
      </c>
      <c r="U372" s="1" t="str">
        <f>IF(F372&lt;6,"Night",
IF(F372&lt;12,"Morning",
IF(F372&lt;17,"Afternoon",
IF(F372&lt;21,"Evening","Night"))))</f>
        <v>Night</v>
      </c>
      <c r="V372" s="1" t="str">
        <f>IF(J372&lt;0.3,"Cold",
IF(J372&lt;0.6,"Pleasant","Hot"))</f>
        <v>Cold</v>
      </c>
      <c r="W372" s="1" t="str">
        <f>IF(L372&lt;0.4,"Low",
IF(L372&lt;0.7,"Medium","High"))</f>
        <v>Medium</v>
      </c>
      <c r="X372" s="1" t="str">
        <f>IF(M372&lt;0.2,"Low",
IF(M372&lt;0.4,"Medium","High"))</f>
        <v>Low</v>
      </c>
      <c r="Y372" s="1" t="str">
        <f>IF(P372&lt;100,"Low",
IF(P372&lt;300,"Medium","High"))</f>
        <v>Low</v>
      </c>
    </row>
    <row r="373" spans="1:25" x14ac:dyDescent="0.3">
      <c r="A373">
        <v>372</v>
      </c>
      <c r="B373" s="2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  <c r="Q373" t="str">
        <f>VLOOKUP(MasterData[[#This Row],[season]],[1]Lookup!$A$2:$B$5,2,FALSE)</f>
        <v>Spring</v>
      </c>
      <c r="R373" t="str">
        <f>TEXT(DATE(2026,E373,1),"mmmm")</f>
        <v>January</v>
      </c>
      <c r="S373" t="str">
        <f>IF(OR(H373=0,H373=6),"Weekend","Weekday")</f>
        <v>Weekend</v>
      </c>
      <c r="T373" s="1" t="str">
        <f>VLOOKUP(I373,[1]Lookup!$D$2:$E$5,2,FALSE)</f>
        <v>Mist / Cloudy</v>
      </c>
      <c r="U373" s="1" t="str">
        <f>IF(F373&lt;6,"Night",
IF(F373&lt;12,"Morning",
IF(F373&lt;17,"Afternoon",
IF(F373&lt;21,"Evening","Night"))))</f>
        <v>Night</v>
      </c>
      <c r="V373" s="1" t="str">
        <f>IF(J373&lt;0.3,"Cold",
IF(J373&lt;0.6,"Pleasant","Hot"))</f>
        <v>Cold</v>
      </c>
      <c r="W373" s="1" t="str">
        <f>IF(L373&lt;0.4,"Low",
IF(L373&lt;0.7,"Medium","High"))</f>
        <v>Medium</v>
      </c>
      <c r="X373" s="1" t="str">
        <f>IF(M373&lt;0.2,"Low",
IF(M373&lt;0.4,"Medium","High"))</f>
        <v>Low</v>
      </c>
      <c r="Y373" s="1" t="str">
        <f>IF(P373&lt;100,"Low",
IF(P373&lt;300,"Medium","High"))</f>
        <v>Low</v>
      </c>
    </row>
    <row r="374" spans="1:25" x14ac:dyDescent="0.3">
      <c r="A374">
        <v>373</v>
      </c>
      <c r="B374" s="2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 t="str">
        <f>VLOOKUP(MasterData[[#This Row],[season]],[1]Lookup!$A$2:$B$5,2,FALSE)</f>
        <v>Spring</v>
      </c>
      <c r="R374" t="str">
        <f>TEXT(DATE(2026,E374,1),"mmmm")</f>
        <v>January</v>
      </c>
      <c r="S374" t="str">
        <f>IF(OR(H374=0,H374=6),"Weekend","Weekday")</f>
        <v>Weekday</v>
      </c>
      <c r="T374" s="1" t="str">
        <f>VLOOKUP(I374,[1]Lookup!$D$2:$E$5,2,FALSE)</f>
        <v>Mist / Cloudy</v>
      </c>
      <c r="U374" s="1" t="str">
        <f>IF(F374&lt;6,"Night",
IF(F374&lt;12,"Morning",
IF(F374&lt;17,"Afternoon",
IF(F374&lt;21,"Evening","Night"))))</f>
        <v>Night</v>
      </c>
      <c r="V374" s="1" t="str">
        <f>IF(J374&lt;0.3,"Cold",
IF(J374&lt;0.6,"Pleasant","Hot"))</f>
        <v>Cold</v>
      </c>
      <c r="W374" s="1" t="str">
        <f>IF(L374&lt;0.4,"Low",
IF(L374&lt;0.7,"Medium","High"))</f>
        <v>Medium</v>
      </c>
      <c r="X374" s="1" t="str">
        <f>IF(M374&lt;0.2,"Low",
IF(M374&lt;0.4,"Medium","High"))</f>
        <v>Medium</v>
      </c>
      <c r="Y374" s="1" t="str">
        <f>IF(P374&lt;100,"Low",
IF(P374&lt;300,"Medium","High"))</f>
        <v>Low</v>
      </c>
    </row>
    <row r="375" spans="1:25" x14ac:dyDescent="0.3">
      <c r="A375">
        <v>374</v>
      </c>
      <c r="B375" s="2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 t="str">
        <f>VLOOKUP(MasterData[[#This Row],[season]],[1]Lookup!$A$2:$B$5,2,FALSE)</f>
        <v>Spring</v>
      </c>
      <c r="R375" t="str">
        <f>TEXT(DATE(2026,E375,1),"mmmm")</f>
        <v>January</v>
      </c>
      <c r="S375" t="str">
        <f>IF(OR(H375=0,H375=6),"Weekend","Weekday")</f>
        <v>Weekday</v>
      </c>
      <c r="T375" s="1" t="str">
        <f>VLOOKUP(I375,[1]Lookup!$D$2:$E$5,2,FALSE)</f>
        <v>Mist / Cloudy</v>
      </c>
      <c r="U375" s="1" t="str">
        <f>IF(F375&lt;6,"Night",
IF(F375&lt;12,"Morning",
IF(F375&lt;17,"Afternoon",
IF(F375&lt;21,"Evening","Night"))))</f>
        <v>Night</v>
      </c>
      <c r="V375" s="1" t="str">
        <f>IF(J375&lt;0.3,"Cold",
IF(J375&lt;0.6,"Pleasant","Hot"))</f>
        <v>Cold</v>
      </c>
      <c r="W375" s="1" t="str">
        <f>IF(L375&lt;0.4,"Low",
IF(L375&lt;0.7,"Medium","High"))</f>
        <v>Medium</v>
      </c>
      <c r="X375" s="1" t="str">
        <f>IF(M375&lt;0.2,"Low",
IF(M375&lt;0.4,"Medium","High"))</f>
        <v>Low</v>
      </c>
      <c r="Y375" s="1" t="str">
        <f>IF(P375&lt;100,"Low",
IF(P375&lt;300,"Medium","High"))</f>
        <v>Low</v>
      </c>
    </row>
    <row r="376" spans="1:25" x14ac:dyDescent="0.3">
      <c r="A376">
        <v>375</v>
      </c>
      <c r="B376" s="2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 t="str">
        <f>VLOOKUP(MasterData[[#This Row],[season]],[1]Lookup!$A$2:$B$5,2,FALSE)</f>
        <v>Spring</v>
      </c>
      <c r="R376" t="str">
        <f>TEXT(DATE(2026,E376,1),"mmmm")</f>
        <v>January</v>
      </c>
      <c r="S376" t="str">
        <f>IF(OR(H376=0,H376=6),"Weekend","Weekday")</f>
        <v>Weekday</v>
      </c>
      <c r="T376" s="1" t="str">
        <f>VLOOKUP(I376,[1]Lookup!$D$2:$E$5,2,FALSE)</f>
        <v>Mist / Cloudy</v>
      </c>
      <c r="U376" s="1" t="str">
        <f>IF(F376&lt;6,"Night",
IF(F376&lt;12,"Morning",
IF(F376&lt;17,"Afternoon",
IF(F376&lt;21,"Evening","Night"))))</f>
        <v>Night</v>
      </c>
      <c r="V376" s="1" t="str">
        <f>IF(J376&lt;0.3,"Cold",
IF(J376&lt;0.6,"Pleasant","Hot"))</f>
        <v>Cold</v>
      </c>
      <c r="W376" s="1" t="str">
        <f>IF(L376&lt;0.4,"Low",
IF(L376&lt;0.7,"Medium","High"))</f>
        <v>Medium</v>
      </c>
      <c r="X376" s="1" t="str">
        <f>IF(M376&lt;0.2,"Low",
IF(M376&lt;0.4,"Medium","High"))</f>
        <v>Medium</v>
      </c>
      <c r="Y376" s="1" t="str">
        <f>IF(P376&lt;100,"Low",
IF(P376&lt;300,"Medium","High"))</f>
        <v>Low</v>
      </c>
    </row>
    <row r="377" spans="1:25" x14ac:dyDescent="0.3">
      <c r="A377">
        <v>376</v>
      </c>
      <c r="B377" s="2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 t="str">
        <f>VLOOKUP(MasterData[[#This Row],[season]],[1]Lookup!$A$2:$B$5,2,FALSE)</f>
        <v>Spring</v>
      </c>
      <c r="R377" t="str">
        <f>TEXT(DATE(2026,E377,1),"mmmm")</f>
        <v>January</v>
      </c>
      <c r="S377" t="str">
        <f>IF(OR(H377=0,H377=6),"Weekend","Weekday")</f>
        <v>Weekday</v>
      </c>
      <c r="T377" s="1" t="str">
        <f>VLOOKUP(I377,[1]Lookup!$D$2:$E$5,2,FALSE)</f>
        <v>Mist / Cloudy</v>
      </c>
      <c r="U377" s="1" t="str">
        <f>IF(F377&lt;6,"Night",
IF(F377&lt;12,"Morning",
IF(F377&lt;17,"Afternoon",
IF(F377&lt;21,"Evening","Night"))))</f>
        <v>Night</v>
      </c>
      <c r="V377" s="1" t="str">
        <f>IF(J377&lt;0.3,"Cold",
IF(J377&lt;0.6,"Pleasant","Hot"))</f>
        <v>Cold</v>
      </c>
      <c r="W377" s="1" t="str">
        <f>IF(L377&lt;0.4,"Low",
IF(L377&lt;0.7,"Medium","High"))</f>
        <v>Medium</v>
      </c>
      <c r="X377" s="1" t="str">
        <f>IF(M377&lt;0.2,"Low",
IF(M377&lt;0.4,"Medium","High"))</f>
        <v>Low</v>
      </c>
      <c r="Y377" s="1" t="str">
        <f>IF(P377&lt;100,"Low",
IF(P377&lt;300,"Medium","High"))</f>
        <v>Low</v>
      </c>
    </row>
    <row r="378" spans="1:25" x14ac:dyDescent="0.3">
      <c r="A378">
        <v>377</v>
      </c>
      <c r="B378" s="2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 t="str">
        <f>VLOOKUP(MasterData[[#This Row],[season]],[1]Lookup!$A$2:$B$5,2,FALSE)</f>
        <v>Spring</v>
      </c>
      <c r="R378" t="str">
        <f>TEXT(DATE(2026,E378,1),"mmmm")</f>
        <v>January</v>
      </c>
      <c r="S378" t="str">
        <f>IF(OR(H378=0,H378=6),"Weekend","Weekday")</f>
        <v>Weekday</v>
      </c>
      <c r="T378" s="1" t="str">
        <f>VLOOKUP(I378,[1]Lookup!$D$2:$E$5,2,FALSE)</f>
        <v>Mist / Cloudy</v>
      </c>
      <c r="U378" s="1" t="str">
        <f>IF(F378&lt;6,"Night",
IF(F378&lt;12,"Morning",
IF(F378&lt;17,"Afternoon",
IF(F378&lt;21,"Evening","Night"))))</f>
        <v>Night</v>
      </c>
      <c r="V378" s="1" t="str">
        <f>IF(J378&lt;0.3,"Cold",
IF(J378&lt;0.6,"Pleasant","Hot"))</f>
        <v>Cold</v>
      </c>
      <c r="W378" s="1" t="str">
        <f>IF(L378&lt;0.4,"Low",
IF(L378&lt;0.7,"Medium","High"))</f>
        <v>Medium</v>
      </c>
      <c r="X378" s="1" t="str">
        <f>IF(M378&lt;0.2,"Low",
IF(M378&lt;0.4,"Medium","High"))</f>
        <v>Low</v>
      </c>
      <c r="Y378" s="1" t="str">
        <f>IF(P378&lt;100,"Low",
IF(P378&lt;300,"Medium","High"))</f>
        <v>Low</v>
      </c>
    </row>
    <row r="379" spans="1:25" x14ac:dyDescent="0.3">
      <c r="A379">
        <v>378</v>
      </c>
      <c r="B379" s="2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 t="str">
        <f>VLOOKUP(MasterData[[#This Row],[season]],[1]Lookup!$A$2:$B$5,2,FALSE)</f>
        <v>Spring</v>
      </c>
      <c r="R379" t="str">
        <f>TEXT(DATE(2026,E379,1),"mmmm")</f>
        <v>January</v>
      </c>
      <c r="S379" t="str">
        <f>IF(OR(H379=0,H379=6),"Weekend","Weekday")</f>
        <v>Weekday</v>
      </c>
      <c r="T379" s="1" t="str">
        <f>VLOOKUP(I379,[1]Lookup!$D$2:$E$5,2,FALSE)</f>
        <v>Mist / Cloudy</v>
      </c>
      <c r="U379" s="1" t="str">
        <f>IF(F379&lt;6,"Night",
IF(F379&lt;12,"Morning",
IF(F379&lt;17,"Afternoon",
IF(F379&lt;21,"Evening","Night"))))</f>
        <v>Night</v>
      </c>
      <c r="V379" s="1" t="str">
        <f>IF(J379&lt;0.3,"Cold",
IF(J379&lt;0.6,"Pleasant","Hot"))</f>
        <v>Cold</v>
      </c>
      <c r="W379" s="1" t="str">
        <f>IF(L379&lt;0.4,"Low",
IF(L379&lt;0.7,"Medium","High"))</f>
        <v>Medium</v>
      </c>
      <c r="X379" s="1" t="str">
        <f>IF(M379&lt;0.2,"Low",
IF(M379&lt;0.4,"Medium","High"))</f>
        <v>Low</v>
      </c>
      <c r="Y379" s="1" t="str">
        <f>IF(P379&lt;100,"Low",
IF(P379&lt;300,"Medium","High"))</f>
        <v>Low</v>
      </c>
    </row>
    <row r="380" spans="1:25" x14ac:dyDescent="0.3">
      <c r="A380">
        <v>379</v>
      </c>
      <c r="B380" s="2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 t="str">
        <f>VLOOKUP(MasterData[[#This Row],[season]],[1]Lookup!$A$2:$B$5,2,FALSE)</f>
        <v>Spring</v>
      </c>
      <c r="R380" t="str">
        <f>TEXT(DATE(2026,E380,1),"mmmm")</f>
        <v>January</v>
      </c>
      <c r="S380" t="str">
        <f>IF(OR(H380=0,H380=6),"Weekend","Weekday")</f>
        <v>Weekday</v>
      </c>
      <c r="T380" s="1" t="str">
        <f>VLOOKUP(I380,[1]Lookup!$D$2:$E$5,2,FALSE)</f>
        <v>Mist / Cloudy</v>
      </c>
      <c r="U380" s="1" t="str">
        <f>IF(F380&lt;6,"Night",
IF(F380&lt;12,"Morning",
IF(F380&lt;17,"Afternoon",
IF(F380&lt;21,"Evening","Night"))))</f>
        <v>Morning</v>
      </c>
      <c r="V380" s="1" t="str">
        <f>IF(J380&lt;0.3,"Cold",
IF(J380&lt;0.6,"Pleasant","Hot"))</f>
        <v>Cold</v>
      </c>
      <c r="W380" s="1" t="str">
        <f>IF(L380&lt;0.4,"Low",
IF(L380&lt;0.7,"Medium","High"))</f>
        <v>Medium</v>
      </c>
      <c r="X380" s="1" t="str">
        <f>IF(M380&lt;0.2,"Low",
IF(M380&lt;0.4,"Medium","High"))</f>
        <v>Low</v>
      </c>
      <c r="Y380" s="1" t="str">
        <f>IF(P380&lt;100,"Low",
IF(P380&lt;300,"Medium","High"))</f>
        <v>Low</v>
      </c>
    </row>
    <row r="381" spans="1:25" x14ac:dyDescent="0.3">
      <c r="A381">
        <v>380</v>
      </c>
      <c r="B381" s="2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  <c r="Q381" t="str">
        <f>VLOOKUP(MasterData[[#This Row],[season]],[1]Lookup!$A$2:$B$5,2,FALSE)</f>
        <v>Spring</v>
      </c>
      <c r="R381" t="str">
        <f>TEXT(DATE(2026,E381,1),"mmmm")</f>
        <v>January</v>
      </c>
      <c r="S381" t="str">
        <f>IF(OR(H381=0,H381=6),"Weekend","Weekday")</f>
        <v>Weekday</v>
      </c>
      <c r="T381" s="1" t="str">
        <f>VLOOKUP(I381,[1]Lookup!$D$2:$E$5,2,FALSE)</f>
        <v>Mist / Cloudy</v>
      </c>
      <c r="U381" s="1" t="str">
        <f>IF(F381&lt;6,"Night",
IF(F381&lt;12,"Morning",
IF(F381&lt;17,"Afternoon",
IF(F381&lt;21,"Evening","Night"))))</f>
        <v>Morning</v>
      </c>
      <c r="V381" s="1" t="str">
        <f>IF(J381&lt;0.3,"Cold",
IF(J381&lt;0.6,"Pleasant","Hot"))</f>
        <v>Cold</v>
      </c>
      <c r="W381" s="1" t="str">
        <f>IF(L381&lt;0.4,"Low",
IF(L381&lt;0.7,"Medium","High"))</f>
        <v>Medium</v>
      </c>
      <c r="X381" s="1" t="str">
        <f>IF(M381&lt;0.2,"Low",
IF(M381&lt;0.4,"Medium","High"))</f>
        <v>Low</v>
      </c>
      <c r="Y381" s="1" t="str">
        <f>IF(P381&lt;100,"Low",
IF(P381&lt;300,"Medium","High"))</f>
        <v>Low</v>
      </c>
    </row>
    <row r="382" spans="1:25" x14ac:dyDescent="0.3">
      <c r="A382">
        <v>381</v>
      </c>
      <c r="B382" s="2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 t="str">
        <f>VLOOKUP(MasterData[[#This Row],[season]],[1]Lookup!$A$2:$B$5,2,FALSE)</f>
        <v>Spring</v>
      </c>
      <c r="R382" t="str">
        <f>TEXT(DATE(2026,E382,1),"mmmm")</f>
        <v>January</v>
      </c>
      <c r="S382" t="str">
        <f>IF(OR(H382=0,H382=6),"Weekend","Weekday")</f>
        <v>Weekday</v>
      </c>
      <c r="T382" s="1" t="str">
        <f>VLOOKUP(I382,[1]Lookup!$D$2:$E$5,2,FALSE)</f>
        <v>Mist / Cloudy</v>
      </c>
      <c r="U382" s="1" t="str">
        <f>IF(F382&lt;6,"Night",
IF(F382&lt;12,"Morning",
IF(F382&lt;17,"Afternoon",
IF(F382&lt;21,"Evening","Night"))))</f>
        <v>Morning</v>
      </c>
      <c r="V382" s="1" t="str">
        <f>IF(J382&lt;0.3,"Cold",
IF(J382&lt;0.6,"Pleasant","Hot"))</f>
        <v>Cold</v>
      </c>
      <c r="W382" s="1" t="str">
        <f>IF(L382&lt;0.4,"Low",
IF(L382&lt;0.7,"Medium","High"))</f>
        <v>Medium</v>
      </c>
      <c r="X382" s="1" t="str">
        <f>IF(M382&lt;0.2,"Low",
IF(M382&lt;0.4,"Medium","High"))</f>
        <v>Medium</v>
      </c>
      <c r="Y382" s="1" t="str">
        <f>IF(P382&lt;100,"Low",
IF(P382&lt;300,"Medium","High"))</f>
        <v>Low</v>
      </c>
    </row>
    <row r="383" spans="1:25" x14ac:dyDescent="0.3">
      <c r="A383">
        <v>382</v>
      </c>
      <c r="B383" s="2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 t="str">
        <f>VLOOKUP(MasterData[[#This Row],[season]],[1]Lookup!$A$2:$B$5,2,FALSE)</f>
        <v>Spring</v>
      </c>
      <c r="R383" t="str">
        <f>TEXT(DATE(2026,E383,1),"mmmm")</f>
        <v>January</v>
      </c>
      <c r="S383" t="str">
        <f>IF(OR(H383=0,H383=6),"Weekend","Weekday")</f>
        <v>Weekday</v>
      </c>
      <c r="T383" s="1" t="str">
        <f>VLOOKUP(I383,[1]Lookup!$D$2:$E$5,2,FALSE)</f>
        <v>Mist / Cloudy</v>
      </c>
      <c r="U383" s="1" t="str">
        <f>IF(F383&lt;6,"Night",
IF(F383&lt;12,"Morning",
IF(F383&lt;17,"Afternoon",
IF(F383&lt;21,"Evening","Night"))))</f>
        <v>Morning</v>
      </c>
      <c r="V383" s="1" t="str">
        <f>IF(J383&lt;0.3,"Cold",
IF(J383&lt;0.6,"Pleasant","Hot"))</f>
        <v>Cold</v>
      </c>
      <c r="W383" s="1" t="str">
        <f>IF(L383&lt;0.4,"Low",
IF(L383&lt;0.7,"Medium","High"))</f>
        <v>Medium</v>
      </c>
      <c r="X383" s="1" t="str">
        <f>IF(M383&lt;0.2,"Low",
IF(M383&lt;0.4,"Medium","High"))</f>
        <v>Medium</v>
      </c>
      <c r="Y383" s="1" t="str">
        <f>IF(P383&lt;100,"Low",
IF(P383&lt;300,"Medium","High"))</f>
        <v>Low</v>
      </c>
    </row>
    <row r="384" spans="1:25" x14ac:dyDescent="0.3">
      <c r="A384">
        <v>383</v>
      </c>
      <c r="B384" s="2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 t="str">
        <f>VLOOKUP(MasterData[[#This Row],[season]],[1]Lookup!$A$2:$B$5,2,FALSE)</f>
        <v>Spring</v>
      </c>
      <c r="R384" t="str">
        <f>TEXT(DATE(2026,E384,1),"mmmm")</f>
        <v>January</v>
      </c>
      <c r="S384" t="str">
        <f>IF(OR(H384=0,H384=6),"Weekend","Weekday")</f>
        <v>Weekday</v>
      </c>
      <c r="T384" s="1" t="str">
        <f>VLOOKUP(I384,[1]Lookup!$D$2:$E$5,2,FALSE)</f>
        <v>Mist / Cloudy</v>
      </c>
      <c r="U384" s="1" t="str">
        <f>IF(F384&lt;6,"Night",
IF(F384&lt;12,"Morning",
IF(F384&lt;17,"Afternoon",
IF(F384&lt;21,"Evening","Night"))))</f>
        <v>Morning</v>
      </c>
      <c r="V384" s="1" t="str">
        <f>IF(J384&lt;0.3,"Cold",
IF(J384&lt;0.6,"Pleasant","Hot"))</f>
        <v>Cold</v>
      </c>
      <c r="W384" s="1" t="str">
        <f>IF(L384&lt;0.4,"Low",
IF(L384&lt;0.7,"Medium","High"))</f>
        <v>Medium</v>
      </c>
      <c r="X384" s="1" t="str">
        <f>IF(M384&lt;0.2,"Low",
IF(M384&lt;0.4,"Medium","High"))</f>
        <v>Medium</v>
      </c>
      <c r="Y384" s="1" t="str">
        <f>IF(P384&lt;100,"Low",
IF(P384&lt;300,"Medium","High"))</f>
        <v>Low</v>
      </c>
    </row>
    <row r="385" spans="1:25" x14ac:dyDescent="0.3">
      <c r="A385">
        <v>384</v>
      </c>
      <c r="B385" s="2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 t="str">
        <f>VLOOKUP(MasterData[[#This Row],[season]],[1]Lookup!$A$2:$B$5,2,FALSE)</f>
        <v>Spring</v>
      </c>
      <c r="R385" t="str">
        <f>TEXT(DATE(2026,E385,1),"mmmm")</f>
        <v>January</v>
      </c>
      <c r="S385" t="str">
        <f>IF(OR(H385=0,H385=6),"Weekend","Weekday")</f>
        <v>Weekday</v>
      </c>
      <c r="T385" s="1" t="str">
        <f>VLOOKUP(I385,[1]Lookup!$D$2:$E$5,2,FALSE)</f>
        <v>Mist / Cloudy</v>
      </c>
      <c r="U385" s="1" t="str">
        <f>IF(F385&lt;6,"Night",
IF(F385&lt;12,"Morning",
IF(F385&lt;17,"Afternoon",
IF(F385&lt;21,"Evening","Night"))))</f>
        <v>Morning</v>
      </c>
      <c r="V385" s="1" t="str">
        <f>IF(J385&lt;0.3,"Cold",
IF(J385&lt;0.6,"Pleasant","Hot"))</f>
        <v>Cold</v>
      </c>
      <c r="W385" s="1" t="str">
        <f>IF(L385&lt;0.4,"Low",
IF(L385&lt;0.7,"Medium","High"))</f>
        <v>Medium</v>
      </c>
      <c r="X385" s="1" t="str">
        <f>IF(M385&lt;0.2,"Low",
IF(M385&lt;0.4,"Medium","High"))</f>
        <v>Low</v>
      </c>
      <c r="Y385" s="1" t="str">
        <f>IF(P385&lt;100,"Low",
IF(P385&lt;300,"Medium","High"))</f>
        <v>Low</v>
      </c>
    </row>
    <row r="386" spans="1:25" x14ac:dyDescent="0.3">
      <c r="A386">
        <v>385</v>
      </c>
      <c r="B386" s="2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 t="str">
        <f>VLOOKUP(MasterData[[#This Row],[season]],[1]Lookup!$A$2:$B$5,2,FALSE)</f>
        <v>Spring</v>
      </c>
      <c r="R386" t="str">
        <f>TEXT(DATE(2026,E386,1),"mmmm")</f>
        <v>January</v>
      </c>
      <c r="S386" t="str">
        <f>IF(OR(H386=0,H386=6),"Weekend","Weekday")</f>
        <v>Weekday</v>
      </c>
      <c r="T386" s="1" t="str">
        <f>VLOOKUP(I386,[1]Lookup!$D$2:$E$5,2,FALSE)</f>
        <v>Mist / Cloudy</v>
      </c>
      <c r="U386" s="1" t="str">
        <f>IF(F386&lt;6,"Night",
IF(F386&lt;12,"Morning",
IF(F386&lt;17,"Afternoon",
IF(F386&lt;21,"Evening","Night"))))</f>
        <v>Afternoon</v>
      </c>
      <c r="V386" s="1" t="str">
        <f>IF(J386&lt;0.3,"Cold",
IF(J386&lt;0.6,"Pleasant","Hot"))</f>
        <v>Cold</v>
      </c>
      <c r="W386" s="1" t="str">
        <f>IF(L386&lt;0.4,"Low",
IF(L386&lt;0.7,"Medium","High"))</f>
        <v>Medium</v>
      </c>
      <c r="X386" s="1" t="str">
        <f>IF(M386&lt;0.2,"Low",
IF(M386&lt;0.4,"Medium","High"))</f>
        <v>Low</v>
      </c>
      <c r="Y386" s="1" t="str">
        <f>IF(P386&lt;100,"Low",
IF(P386&lt;300,"Medium","High"))</f>
        <v>Low</v>
      </c>
    </row>
    <row r="387" spans="1:25" x14ac:dyDescent="0.3">
      <c r="A387">
        <v>386</v>
      </c>
      <c r="B387" s="2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 t="str">
        <f>VLOOKUP(MasterData[[#This Row],[season]],[1]Lookup!$A$2:$B$5,2,FALSE)</f>
        <v>Spring</v>
      </c>
      <c r="R387" t="str">
        <f>TEXT(DATE(2026,E387,1),"mmmm")</f>
        <v>January</v>
      </c>
      <c r="S387" t="str">
        <f>IF(OR(H387=0,H387=6),"Weekend","Weekday")</f>
        <v>Weekday</v>
      </c>
      <c r="T387" s="1" t="str">
        <f>VLOOKUP(I387,[1]Lookup!$D$2:$E$5,2,FALSE)</f>
        <v>Mist / Cloudy</v>
      </c>
      <c r="U387" s="1" t="str">
        <f>IF(F387&lt;6,"Night",
IF(F387&lt;12,"Morning",
IF(F387&lt;17,"Afternoon",
IF(F387&lt;21,"Evening","Night"))))</f>
        <v>Afternoon</v>
      </c>
      <c r="V387" s="1" t="str">
        <f>IF(J387&lt;0.3,"Cold",
IF(J387&lt;0.6,"Pleasant","Hot"))</f>
        <v>Cold</v>
      </c>
      <c r="W387" s="1" t="str">
        <f>IF(L387&lt;0.4,"Low",
IF(L387&lt;0.7,"Medium","High"))</f>
        <v>Medium</v>
      </c>
      <c r="X387" s="1" t="str">
        <f>IF(M387&lt;0.2,"Low",
IF(M387&lt;0.4,"Medium","High"))</f>
        <v>Low</v>
      </c>
      <c r="Y387" s="1" t="str">
        <f>IF(P387&lt;100,"Low",
IF(P387&lt;300,"Medium","High"))</f>
        <v>Low</v>
      </c>
    </row>
    <row r="388" spans="1:25" x14ac:dyDescent="0.3">
      <c r="A388">
        <v>387</v>
      </c>
      <c r="B388" s="2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 t="str">
        <f>VLOOKUP(MasterData[[#This Row],[season]],[1]Lookup!$A$2:$B$5,2,FALSE)</f>
        <v>Spring</v>
      </c>
      <c r="R388" t="str">
        <f>TEXT(DATE(2026,E388,1),"mmmm")</f>
        <v>January</v>
      </c>
      <c r="S388" t="str">
        <f>IF(OR(H388=0,H388=6),"Weekend","Weekday")</f>
        <v>Weekday</v>
      </c>
      <c r="T388" s="1" t="str">
        <f>VLOOKUP(I388,[1]Lookup!$D$2:$E$5,2,FALSE)</f>
        <v>Mist / Cloudy</v>
      </c>
      <c r="U388" s="1" t="str">
        <f>IF(F388&lt;6,"Night",
IF(F388&lt;12,"Morning",
IF(F388&lt;17,"Afternoon",
IF(F388&lt;21,"Evening","Night"))))</f>
        <v>Afternoon</v>
      </c>
      <c r="V388" s="1" t="str">
        <f>IF(J388&lt;0.3,"Cold",
IF(J388&lt;0.6,"Pleasant","Hot"))</f>
        <v>Cold</v>
      </c>
      <c r="W388" s="1" t="str">
        <f>IF(L388&lt;0.4,"Low",
IF(L388&lt;0.7,"Medium","High"))</f>
        <v>Medium</v>
      </c>
      <c r="X388" s="1" t="str">
        <f>IF(M388&lt;0.2,"Low",
IF(M388&lt;0.4,"Medium","High"))</f>
        <v>Low</v>
      </c>
      <c r="Y388" s="1" t="str">
        <f>IF(P388&lt;100,"Low",
IF(P388&lt;300,"Medium","High"))</f>
        <v>Low</v>
      </c>
    </row>
    <row r="389" spans="1:25" x14ac:dyDescent="0.3">
      <c r="A389">
        <v>388</v>
      </c>
      <c r="B389" s="2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 t="str">
        <f>VLOOKUP(MasterData[[#This Row],[season]],[1]Lookup!$A$2:$B$5,2,FALSE)</f>
        <v>Spring</v>
      </c>
      <c r="R389" t="str">
        <f>TEXT(DATE(2026,E389,1),"mmmm")</f>
        <v>January</v>
      </c>
      <c r="S389" t="str">
        <f>IF(OR(H389=0,H389=6),"Weekend","Weekday")</f>
        <v>Weekday</v>
      </c>
      <c r="T389" s="1" t="str">
        <f>VLOOKUP(I389,[1]Lookup!$D$2:$E$5,2,FALSE)</f>
        <v>Mist / Cloudy</v>
      </c>
      <c r="U389" s="1" t="str">
        <f>IF(F389&lt;6,"Night",
IF(F389&lt;12,"Morning",
IF(F389&lt;17,"Afternoon",
IF(F389&lt;21,"Evening","Night"))))</f>
        <v>Afternoon</v>
      </c>
      <c r="V389" s="1" t="str">
        <f>IF(J389&lt;0.3,"Cold",
IF(J389&lt;0.6,"Pleasant","Hot"))</f>
        <v>Cold</v>
      </c>
      <c r="W389" s="1" t="str">
        <f>IF(L389&lt;0.4,"Low",
IF(L389&lt;0.7,"Medium","High"))</f>
        <v>Medium</v>
      </c>
      <c r="X389" s="1" t="str">
        <f>IF(M389&lt;0.2,"Low",
IF(M389&lt;0.4,"Medium","High"))</f>
        <v>Low</v>
      </c>
      <c r="Y389" s="1" t="str">
        <f>IF(P389&lt;100,"Low",
IF(P389&lt;300,"Medium","High"))</f>
        <v>Low</v>
      </c>
    </row>
    <row r="390" spans="1:25" x14ac:dyDescent="0.3">
      <c r="A390">
        <v>389</v>
      </c>
      <c r="B390" s="2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 t="str">
        <f>VLOOKUP(MasterData[[#This Row],[season]],[1]Lookup!$A$2:$B$5,2,FALSE)</f>
        <v>Spring</v>
      </c>
      <c r="R390" t="str">
        <f>TEXT(DATE(2026,E390,1),"mmmm")</f>
        <v>January</v>
      </c>
      <c r="S390" t="str">
        <f>IF(OR(H390=0,H390=6),"Weekend","Weekday")</f>
        <v>Weekday</v>
      </c>
      <c r="T390" s="1" t="str">
        <f>VLOOKUP(I390,[1]Lookup!$D$2:$E$5,2,FALSE)</f>
        <v>Mist / Cloudy</v>
      </c>
      <c r="U390" s="1" t="str">
        <f>IF(F390&lt;6,"Night",
IF(F390&lt;12,"Morning",
IF(F390&lt;17,"Afternoon",
IF(F390&lt;21,"Evening","Night"))))</f>
        <v>Afternoon</v>
      </c>
      <c r="V390" s="1" t="str">
        <f>IF(J390&lt;0.3,"Cold",
IF(J390&lt;0.6,"Pleasant","Hot"))</f>
        <v>Cold</v>
      </c>
      <c r="W390" s="1" t="str">
        <f>IF(L390&lt;0.4,"Low",
IF(L390&lt;0.7,"Medium","High"))</f>
        <v>Medium</v>
      </c>
      <c r="X390" s="1" t="str">
        <f>IF(M390&lt;0.2,"Low",
IF(M390&lt;0.4,"Medium","High"))</f>
        <v>Low</v>
      </c>
      <c r="Y390" s="1" t="str">
        <f>IF(P390&lt;100,"Low",
IF(P390&lt;300,"Medium","High"))</f>
        <v>Low</v>
      </c>
    </row>
    <row r="391" spans="1:25" x14ac:dyDescent="0.3">
      <c r="A391">
        <v>390</v>
      </c>
      <c r="B391" s="2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 t="str">
        <f>VLOOKUP(MasterData[[#This Row],[season]],[1]Lookup!$A$2:$B$5,2,FALSE)</f>
        <v>Spring</v>
      </c>
      <c r="R391" t="str">
        <f>TEXT(DATE(2026,E391,1),"mmmm")</f>
        <v>January</v>
      </c>
      <c r="S391" t="str">
        <f>IF(OR(H391=0,H391=6),"Weekend","Weekday")</f>
        <v>Weekday</v>
      </c>
      <c r="T391" s="1" t="str">
        <f>VLOOKUP(I391,[1]Lookup!$D$2:$E$5,2,FALSE)</f>
        <v>Clear</v>
      </c>
      <c r="U391" s="1" t="str">
        <f>IF(F391&lt;6,"Night",
IF(F391&lt;12,"Morning",
IF(F391&lt;17,"Afternoon",
IF(F391&lt;21,"Evening","Night"))))</f>
        <v>Evening</v>
      </c>
      <c r="V391" s="1" t="str">
        <f>IF(J391&lt;0.3,"Cold",
IF(J391&lt;0.6,"Pleasant","Hot"))</f>
        <v>Cold</v>
      </c>
      <c r="W391" s="1" t="str">
        <f>IF(L391&lt;0.4,"Low",
IF(L391&lt;0.7,"Medium","High"))</f>
        <v>Medium</v>
      </c>
      <c r="X391" s="1" t="str">
        <f>IF(M391&lt;0.2,"Low",
IF(M391&lt;0.4,"Medium","High"))</f>
        <v>Low</v>
      </c>
      <c r="Y391" s="1" t="str">
        <f>IF(P391&lt;100,"Low",
IF(P391&lt;300,"Medium","High"))</f>
        <v>Low</v>
      </c>
    </row>
    <row r="392" spans="1:25" x14ac:dyDescent="0.3">
      <c r="A392">
        <v>391</v>
      </c>
      <c r="B392" s="2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 t="str">
        <f>VLOOKUP(MasterData[[#This Row],[season]],[1]Lookup!$A$2:$B$5,2,FALSE)</f>
        <v>Spring</v>
      </c>
      <c r="R392" t="str">
        <f>TEXT(DATE(2026,E392,1),"mmmm")</f>
        <v>January</v>
      </c>
      <c r="S392" t="str">
        <f>IF(OR(H392=0,H392=6),"Weekend","Weekday")</f>
        <v>Weekday</v>
      </c>
      <c r="T392" s="1" t="str">
        <f>VLOOKUP(I392,[1]Lookup!$D$2:$E$5,2,FALSE)</f>
        <v>Mist / Cloudy</v>
      </c>
      <c r="U392" s="1" t="str">
        <f>IF(F392&lt;6,"Night",
IF(F392&lt;12,"Morning",
IF(F392&lt;17,"Afternoon",
IF(F392&lt;21,"Evening","Night"))))</f>
        <v>Evening</v>
      </c>
      <c r="V392" s="1" t="str">
        <f>IF(J392&lt;0.3,"Cold",
IF(J392&lt;0.6,"Pleasant","Hot"))</f>
        <v>Cold</v>
      </c>
      <c r="W392" s="1" t="str">
        <f>IF(L392&lt;0.4,"Low",
IF(L392&lt;0.7,"Medium","High"))</f>
        <v>Medium</v>
      </c>
      <c r="X392" s="1" t="str">
        <f>IF(M392&lt;0.2,"Low",
IF(M392&lt;0.4,"Medium","High"))</f>
        <v>Medium</v>
      </c>
      <c r="Y392" s="1" t="str">
        <f>IF(P392&lt;100,"Low",
IF(P392&lt;300,"Medium","High"))</f>
        <v>Low</v>
      </c>
    </row>
    <row r="393" spans="1:25" x14ac:dyDescent="0.3">
      <c r="A393">
        <v>392</v>
      </c>
      <c r="B393" s="2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 t="str">
        <f>VLOOKUP(MasterData[[#This Row],[season]],[1]Lookup!$A$2:$B$5,2,FALSE)</f>
        <v>Spring</v>
      </c>
      <c r="R393" t="str">
        <f>TEXT(DATE(2026,E393,1),"mmmm")</f>
        <v>January</v>
      </c>
      <c r="S393" t="str">
        <f>IF(OR(H393=0,H393=6),"Weekend","Weekday")</f>
        <v>Weekday</v>
      </c>
      <c r="T393" s="1" t="str">
        <f>VLOOKUP(I393,[1]Lookup!$D$2:$E$5,2,FALSE)</f>
        <v>Light Rain / Snow</v>
      </c>
      <c r="U393" s="1" t="str">
        <f>IF(F393&lt;6,"Night",
IF(F393&lt;12,"Morning",
IF(F393&lt;17,"Afternoon",
IF(F393&lt;21,"Evening","Night"))))</f>
        <v>Evening</v>
      </c>
      <c r="V393" s="1" t="str">
        <f>IF(J393&lt;0.3,"Cold",
IF(J393&lt;0.6,"Pleasant","Hot"))</f>
        <v>Cold</v>
      </c>
      <c r="W393" s="1" t="str">
        <f>IF(L393&lt;0.4,"Low",
IF(L393&lt;0.7,"Medium","High"))</f>
        <v>Medium</v>
      </c>
      <c r="X393" s="1" t="str">
        <f>IF(M393&lt;0.2,"Low",
IF(M393&lt;0.4,"Medium","High"))</f>
        <v>Low</v>
      </c>
      <c r="Y393" s="1" t="str">
        <f>IF(P393&lt;100,"Low",
IF(P393&lt;300,"Medium","High"))</f>
        <v>Low</v>
      </c>
    </row>
    <row r="394" spans="1:25" x14ac:dyDescent="0.3">
      <c r="A394">
        <v>393</v>
      </c>
      <c r="B394" s="2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 t="str">
        <f>VLOOKUP(MasterData[[#This Row],[season]],[1]Lookup!$A$2:$B$5,2,FALSE)</f>
        <v>Spring</v>
      </c>
      <c r="R394" t="str">
        <f>TEXT(DATE(2026,E394,1),"mmmm")</f>
        <v>January</v>
      </c>
      <c r="S394" t="str">
        <f>IF(OR(H394=0,H394=6),"Weekend","Weekday")</f>
        <v>Weekday</v>
      </c>
      <c r="T394" s="1" t="str">
        <f>VLOOKUP(I394,[1]Lookup!$D$2:$E$5,2,FALSE)</f>
        <v>Light Rain / Snow</v>
      </c>
      <c r="U394" s="1" t="str">
        <f>IF(F394&lt;6,"Night",
IF(F394&lt;12,"Morning",
IF(F394&lt;17,"Afternoon",
IF(F394&lt;21,"Evening","Night"))))</f>
        <v>Evening</v>
      </c>
      <c r="V394" s="1" t="str">
        <f>IF(J394&lt;0.3,"Cold",
IF(J394&lt;0.6,"Pleasant","Hot"))</f>
        <v>Cold</v>
      </c>
      <c r="W394" s="1" t="str">
        <f>IF(L394&lt;0.4,"Low",
IF(L394&lt;0.7,"Medium","High"))</f>
        <v>High</v>
      </c>
      <c r="X394" s="1" t="str">
        <f>IF(M394&lt;0.2,"Low",
IF(M394&lt;0.4,"Medium","High"))</f>
        <v>Low</v>
      </c>
      <c r="Y394" s="1" t="str">
        <f>IF(P394&lt;100,"Low",
IF(P394&lt;300,"Medium","High"))</f>
        <v>Low</v>
      </c>
    </row>
    <row r="395" spans="1:25" x14ac:dyDescent="0.3">
      <c r="A395">
        <v>394</v>
      </c>
      <c r="B395" s="2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 t="str">
        <f>VLOOKUP(MasterData[[#This Row],[season]],[1]Lookup!$A$2:$B$5,2,FALSE)</f>
        <v>Spring</v>
      </c>
      <c r="R395" t="str">
        <f>TEXT(DATE(2026,E395,1),"mmmm")</f>
        <v>January</v>
      </c>
      <c r="S395" t="str">
        <f>IF(OR(H395=0,H395=6),"Weekend","Weekday")</f>
        <v>Weekday</v>
      </c>
      <c r="T395" s="1" t="str">
        <f>VLOOKUP(I395,[1]Lookup!$D$2:$E$5,2,FALSE)</f>
        <v>Light Rain / Snow</v>
      </c>
      <c r="U395" s="1" t="str">
        <f>IF(F395&lt;6,"Night",
IF(F395&lt;12,"Morning",
IF(F395&lt;17,"Afternoon",
IF(F395&lt;21,"Evening","Night"))))</f>
        <v>Night</v>
      </c>
      <c r="V395" s="1" t="str">
        <f>IF(J395&lt;0.3,"Cold",
IF(J395&lt;0.6,"Pleasant","Hot"))</f>
        <v>Cold</v>
      </c>
      <c r="W395" s="1" t="str">
        <f>IF(L395&lt;0.4,"Low",
IF(L395&lt;0.7,"Medium","High"))</f>
        <v>High</v>
      </c>
      <c r="X395" s="1" t="str">
        <f>IF(M395&lt;0.2,"Low",
IF(M395&lt;0.4,"Medium","High"))</f>
        <v>Low</v>
      </c>
      <c r="Y395" s="1" t="str">
        <f>IF(P395&lt;100,"Low",
IF(P395&lt;300,"Medium","High"))</f>
        <v>Low</v>
      </c>
    </row>
    <row r="396" spans="1:25" x14ac:dyDescent="0.3">
      <c r="A396">
        <v>395</v>
      </c>
      <c r="B396" s="2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 t="str">
        <f>VLOOKUP(MasterData[[#This Row],[season]],[1]Lookup!$A$2:$B$5,2,FALSE)</f>
        <v>Spring</v>
      </c>
      <c r="R396" t="str">
        <f>TEXT(DATE(2026,E396,1),"mmmm")</f>
        <v>January</v>
      </c>
      <c r="S396" t="str">
        <f>IF(OR(H396=0,H396=6),"Weekend","Weekday")</f>
        <v>Weekday</v>
      </c>
      <c r="T396" s="1" t="str">
        <f>VLOOKUP(I396,[1]Lookup!$D$2:$E$5,2,FALSE)</f>
        <v>Light Rain / Snow</v>
      </c>
      <c r="U396" s="1" t="str">
        <f>IF(F396&lt;6,"Night",
IF(F396&lt;12,"Morning",
IF(F396&lt;17,"Afternoon",
IF(F396&lt;21,"Evening","Night"))))</f>
        <v>Night</v>
      </c>
      <c r="V396" s="1" t="str">
        <f>IF(J396&lt;0.3,"Cold",
IF(J396&lt;0.6,"Pleasant","Hot"))</f>
        <v>Cold</v>
      </c>
      <c r="W396" s="1" t="str">
        <f>IF(L396&lt;0.4,"Low",
IF(L396&lt;0.7,"Medium","High"))</f>
        <v>High</v>
      </c>
      <c r="X396" s="1" t="str">
        <f>IF(M396&lt;0.2,"Low",
IF(M396&lt;0.4,"Medium","High"))</f>
        <v>Medium</v>
      </c>
      <c r="Y396" s="1" t="str">
        <f>IF(P396&lt;100,"Low",
IF(P396&lt;300,"Medium","High"))</f>
        <v>Low</v>
      </c>
    </row>
    <row r="397" spans="1:25" x14ac:dyDescent="0.3">
      <c r="A397">
        <v>396</v>
      </c>
      <c r="B397" s="2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 t="str">
        <f>VLOOKUP(MasterData[[#This Row],[season]],[1]Lookup!$A$2:$B$5,2,FALSE)</f>
        <v>Spring</v>
      </c>
      <c r="R397" t="str">
        <f>TEXT(DATE(2026,E397,1),"mmmm")</f>
        <v>January</v>
      </c>
      <c r="S397" t="str">
        <f>IF(OR(H397=0,H397=6),"Weekend","Weekday")</f>
        <v>Weekday</v>
      </c>
      <c r="T397" s="1" t="str">
        <f>VLOOKUP(I397,[1]Lookup!$D$2:$E$5,2,FALSE)</f>
        <v>Light Rain / Snow</v>
      </c>
      <c r="U397" s="1" t="str">
        <f>IF(F397&lt;6,"Night",
IF(F397&lt;12,"Morning",
IF(F397&lt;17,"Afternoon",
IF(F397&lt;21,"Evening","Night"))))</f>
        <v>Night</v>
      </c>
      <c r="V397" s="1" t="str">
        <f>IF(J397&lt;0.3,"Cold",
IF(J397&lt;0.6,"Pleasant","Hot"))</f>
        <v>Cold</v>
      </c>
      <c r="W397" s="1" t="str">
        <f>IF(L397&lt;0.4,"Low",
IF(L397&lt;0.7,"Medium","High"))</f>
        <v>High</v>
      </c>
      <c r="X397" s="1" t="str">
        <f>IF(M397&lt;0.2,"Low",
IF(M397&lt;0.4,"Medium","High"))</f>
        <v>Medium</v>
      </c>
      <c r="Y397" s="1" t="str">
        <f>IF(P397&lt;100,"Low",
IF(P397&lt;300,"Medium","High"))</f>
        <v>Low</v>
      </c>
    </row>
    <row r="398" spans="1:25" x14ac:dyDescent="0.3">
      <c r="A398">
        <v>397</v>
      </c>
      <c r="B398" s="2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 t="str">
        <f>VLOOKUP(MasterData[[#This Row],[season]],[1]Lookup!$A$2:$B$5,2,FALSE)</f>
        <v>Spring</v>
      </c>
      <c r="R398" t="str">
        <f>TEXT(DATE(2026,E398,1),"mmmm")</f>
        <v>January</v>
      </c>
      <c r="S398" t="str">
        <f>IF(OR(H398=0,H398=6),"Weekend","Weekday")</f>
        <v>Weekday</v>
      </c>
      <c r="T398" s="1" t="str">
        <f>VLOOKUP(I398,[1]Lookup!$D$2:$E$5,2,FALSE)</f>
        <v>Mist / Cloudy</v>
      </c>
      <c r="U398" s="1" t="str">
        <f>IF(F398&lt;6,"Night",
IF(F398&lt;12,"Morning",
IF(F398&lt;17,"Afternoon",
IF(F398&lt;21,"Evening","Night"))))</f>
        <v>Afternoon</v>
      </c>
      <c r="V398" s="1" t="str">
        <f>IF(J398&lt;0.3,"Cold",
IF(J398&lt;0.6,"Pleasant","Hot"))</f>
        <v>Cold</v>
      </c>
      <c r="W398" s="1" t="str">
        <f>IF(L398&lt;0.4,"Low",
IF(L398&lt;0.7,"Medium","High"))</f>
        <v>High</v>
      </c>
      <c r="X398" s="1" t="str">
        <f>IF(M398&lt;0.2,"Low",
IF(M398&lt;0.4,"Medium","High"))</f>
        <v>Medium</v>
      </c>
      <c r="Y398" s="1" t="str">
        <f>IF(P398&lt;100,"Low",
IF(P398&lt;300,"Medium","High"))</f>
        <v>Low</v>
      </c>
    </row>
    <row r="399" spans="1:25" x14ac:dyDescent="0.3">
      <c r="A399">
        <v>398</v>
      </c>
      <c r="B399" s="2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 t="str">
        <f>VLOOKUP(MasterData[[#This Row],[season]],[1]Lookup!$A$2:$B$5,2,FALSE)</f>
        <v>Spring</v>
      </c>
      <c r="R399" t="str">
        <f>TEXT(DATE(2026,E399,1),"mmmm")</f>
        <v>January</v>
      </c>
      <c r="S399" t="str">
        <f>IF(OR(H399=0,H399=6),"Weekend","Weekday")</f>
        <v>Weekday</v>
      </c>
      <c r="T399" s="1" t="str">
        <f>VLOOKUP(I399,[1]Lookup!$D$2:$E$5,2,FALSE)</f>
        <v>Mist / Cloudy</v>
      </c>
      <c r="U399" s="1" t="str">
        <f>IF(F399&lt;6,"Night",
IF(F399&lt;12,"Morning",
IF(F399&lt;17,"Afternoon",
IF(F399&lt;21,"Evening","Night"))))</f>
        <v>Afternoon</v>
      </c>
      <c r="V399" s="1" t="str">
        <f>IF(J399&lt;0.3,"Cold",
IF(J399&lt;0.6,"Pleasant","Hot"))</f>
        <v>Cold</v>
      </c>
      <c r="W399" s="1" t="str">
        <f>IF(L399&lt;0.4,"Low",
IF(L399&lt;0.7,"Medium","High"))</f>
        <v>High</v>
      </c>
      <c r="X399" s="1" t="str">
        <f>IF(M399&lt;0.2,"Low",
IF(M399&lt;0.4,"Medium","High"))</f>
        <v>Medium</v>
      </c>
      <c r="Y399" s="1" t="str">
        <f>IF(P399&lt;100,"Low",
IF(P399&lt;300,"Medium","High"))</f>
        <v>Low</v>
      </c>
    </row>
    <row r="400" spans="1:25" x14ac:dyDescent="0.3">
      <c r="A400">
        <v>399</v>
      </c>
      <c r="B400" s="2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 t="str">
        <f>VLOOKUP(MasterData[[#This Row],[season]],[1]Lookup!$A$2:$B$5,2,FALSE)</f>
        <v>Spring</v>
      </c>
      <c r="R400" t="str">
        <f>TEXT(DATE(2026,E400,1),"mmmm")</f>
        <v>January</v>
      </c>
      <c r="S400" t="str">
        <f>IF(OR(H400=0,H400=6),"Weekend","Weekday")</f>
        <v>Weekday</v>
      </c>
      <c r="T400" s="1" t="str">
        <f>VLOOKUP(I400,[1]Lookup!$D$2:$E$5,2,FALSE)</f>
        <v>Mist / Cloudy</v>
      </c>
      <c r="U400" s="1" t="str">
        <f>IF(F400&lt;6,"Night",
IF(F400&lt;12,"Morning",
IF(F400&lt;17,"Afternoon",
IF(F400&lt;21,"Evening","Night"))))</f>
        <v>Afternoon</v>
      </c>
      <c r="V400" s="1" t="str">
        <f>IF(J400&lt;0.3,"Cold",
IF(J400&lt;0.6,"Pleasant","Hot"))</f>
        <v>Cold</v>
      </c>
      <c r="W400" s="1" t="str">
        <f>IF(L400&lt;0.4,"Low",
IF(L400&lt;0.7,"Medium","High"))</f>
        <v>High</v>
      </c>
      <c r="X400" s="1" t="str">
        <f>IF(M400&lt;0.2,"Low",
IF(M400&lt;0.4,"Medium","High"))</f>
        <v>Low</v>
      </c>
      <c r="Y400" s="1" t="str">
        <f>IF(P400&lt;100,"Low",
IF(P400&lt;300,"Medium","High"))</f>
        <v>Low</v>
      </c>
    </row>
    <row r="401" spans="1:25" x14ac:dyDescent="0.3">
      <c r="A401">
        <v>400</v>
      </c>
      <c r="B401" s="2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 t="str">
        <f>VLOOKUP(MasterData[[#This Row],[season]],[1]Lookup!$A$2:$B$5,2,FALSE)</f>
        <v>Spring</v>
      </c>
      <c r="R401" t="str">
        <f>TEXT(DATE(2026,E401,1),"mmmm")</f>
        <v>January</v>
      </c>
      <c r="S401" t="str">
        <f>IF(OR(H401=0,H401=6),"Weekend","Weekday")</f>
        <v>Weekday</v>
      </c>
      <c r="T401" s="1" t="str">
        <f>VLOOKUP(I401,[1]Lookup!$D$2:$E$5,2,FALSE)</f>
        <v>Mist / Cloudy</v>
      </c>
      <c r="U401" s="1" t="str">
        <f>IF(F401&lt;6,"Night",
IF(F401&lt;12,"Morning",
IF(F401&lt;17,"Afternoon",
IF(F401&lt;21,"Evening","Night"))))</f>
        <v>Afternoon</v>
      </c>
      <c r="V401" s="1" t="str">
        <f>IF(J401&lt;0.3,"Cold",
IF(J401&lt;0.6,"Pleasant","Hot"))</f>
        <v>Cold</v>
      </c>
      <c r="W401" s="1" t="str">
        <f>IF(L401&lt;0.4,"Low",
IF(L401&lt;0.7,"Medium","High"))</f>
        <v>High</v>
      </c>
      <c r="X401" s="1" t="str">
        <f>IF(M401&lt;0.2,"Low",
IF(M401&lt;0.4,"Medium","High"))</f>
        <v>Low</v>
      </c>
      <c r="Y401" s="1" t="str">
        <f>IF(P401&lt;100,"Low",
IF(P401&lt;300,"Medium","High"))</f>
        <v>Low</v>
      </c>
    </row>
    <row r="402" spans="1:25" x14ac:dyDescent="0.3">
      <c r="A402">
        <v>401</v>
      </c>
      <c r="B402" s="2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 t="str">
        <f>VLOOKUP(MasterData[[#This Row],[season]],[1]Lookup!$A$2:$B$5,2,FALSE)</f>
        <v>Spring</v>
      </c>
      <c r="R402" t="str">
        <f>TEXT(DATE(2026,E402,1),"mmmm")</f>
        <v>January</v>
      </c>
      <c r="S402" t="str">
        <f>IF(OR(H402=0,H402=6),"Weekend","Weekday")</f>
        <v>Weekday</v>
      </c>
      <c r="T402" s="1" t="str">
        <f>VLOOKUP(I402,[1]Lookup!$D$2:$E$5,2,FALSE)</f>
        <v>Mist / Cloudy</v>
      </c>
      <c r="U402" s="1" t="str">
        <f>IF(F402&lt;6,"Night",
IF(F402&lt;12,"Morning",
IF(F402&lt;17,"Afternoon",
IF(F402&lt;21,"Evening","Night"))))</f>
        <v>Afternoon</v>
      </c>
      <c r="V402" s="1" t="str">
        <f>IF(J402&lt;0.3,"Cold",
IF(J402&lt;0.6,"Pleasant","Hot"))</f>
        <v>Cold</v>
      </c>
      <c r="W402" s="1" t="str">
        <f>IF(L402&lt;0.4,"Low",
IF(L402&lt;0.7,"Medium","High"))</f>
        <v>High</v>
      </c>
      <c r="X402" s="1" t="str">
        <f>IF(M402&lt;0.2,"Low",
IF(M402&lt;0.4,"Medium","High"))</f>
        <v>Low</v>
      </c>
      <c r="Y402" s="1" t="str">
        <f>IF(P402&lt;100,"Low",
IF(P402&lt;300,"Medium","High"))</f>
        <v>Low</v>
      </c>
    </row>
    <row r="403" spans="1:25" x14ac:dyDescent="0.3">
      <c r="A403">
        <v>402</v>
      </c>
      <c r="B403" s="2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 t="str">
        <f>VLOOKUP(MasterData[[#This Row],[season]],[1]Lookup!$A$2:$B$5,2,FALSE)</f>
        <v>Spring</v>
      </c>
      <c r="R403" t="str">
        <f>TEXT(DATE(2026,E403,1),"mmmm")</f>
        <v>January</v>
      </c>
      <c r="S403" t="str">
        <f>IF(OR(H403=0,H403=6),"Weekend","Weekday")</f>
        <v>Weekday</v>
      </c>
      <c r="T403" s="1" t="str">
        <f>VLOOKUP(I403,[1]Lookup!$D$2:$E$5,2,FALSE)</f>
        <v>Mist / Cloudy</v>
      </c>
      <c r="U403" s="1" t="str">
        <f>IF(F403&lt;6,"Night",
IF(F403&lt;12,"Morning",
IF(F403&lt;17,"Afternoon",
IF(F403&lt;21,"Evening","Night"))))</f>
        <v>Evening</v>
      </c>
      <c r="V403" s="1" t="str">
        <f>IF(J403&lt;0.3,"Cold",
IF(J403&lt;0.6,"Pleasant","Hot"))</f>
        <v>Cold</v>
      </c>
      <c r="W403" s="1" t="str">
        <f>IF(L403&lt;0.4,"Low",
IF(L403&lt;0.7,"Medium","High"))</f>
        <v>High</v>
      </c>
      <c r="X403" s="1" t="str">
        <f>IF(M403&lt;0.2,"Low",
IF(M403&lt;0.4,"Medium","High"))</f>
        <v>Low</v>
      </c>
      <c r="Y403" s="1" t="str">
        <f>IF(P403&lt;100,"Low",
IF(P403&lt;300,"Medium","High"))</f>
        <v>Medium</v>
      </c>
    </row>
    <row r="404" spans="1:25" x14ac:dyDescent="0.3">
      <c r="A404">
        <v>403</v>
      </c>
      <c r="B404" s="2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 t="str">
        <f>VLOOKUP(MasterData[[#This Row],[season]],[1]Lookup!$A$2:$B$5,2,FALSE)</f>
        <v>Spring</v>
      </c>
      <c r="R404" t="str">
        <f>TEXT(DATE(2026,E404,1),"mmmm")</f>
        <v>January</v>
      </c>
      <c r="S404" t="str">
        <f>IF(OR(H404=0,H404=6),"Weekend","Weekday")</f>
        <v>Weekday</v>
      </c>
      <c r="T404" s="1" t="str">
        <f>VLOOKUP(I404,[1]Lookup!$D$2:$E$5,2,FALSE)</f>
        <v>Mist / Cloudy</v>
      </c>
      <c r="U404" s="1" t="str">
        <f>IF(F404&lt;6,"Night",
IF(F404&lt;12,"Morning",
IF(F404&lt;17,"Afternoon",
IF(F404&lt;21,"Evening","Night"))))</f>
        <v>Evening</v>
      </c>
      <c r="V404" s="1" t="str">
        <f>IF(J404&lt;0.3,"Cold",
IF(J404&lt;0.6,"Pleasant","Hot"))</f>
        <v>Cold</v>
      </c>
      <c r="W404" s="1" t="str">
        <f>IF(L404&lt;0.4,"Low",
IF(L404&lt;0.7,"Medium","High"))</f>
        <v>High</v>
      </c>
      <c r="X404" s="1" t="str">
        <f>IF(M404&lt;0.2,"Low",
IF(M404&lt;0.4,"Medium","High"))</f>
        <v>Low</v>
      </c>
      <c r="Y404" s="1" t="str">
        <f>IF(P404&lt;100,"Low",
IF(P404&lt;300,"Medium","High"))</f>
        <v>Medium</v>
      </c>
    </row>
    <row r="405" spans="1:25" x14ac:dyDescent="0.3">
      <c r="A405">
        <v>404</v>
      </c>
      <c r="B405" s="2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  <c r="Q405" t="str">
        <f>VLOOKUP(MasterData[[#This Row],[season]],[1]Lookup!$A$2:$B$5,2,FALSE)</f>
        <v>Spring</v>
      </c>
      <c r="R405" t="str">
        <f>TEXT(DATE(2026,E405,1),"mmmm")</f>
        <v>January</v>
      </c>
      <c r="S405" t="str">
        <f>IF(OR(H405=0,H405=6),"Weekend","Weekday")</f>
        <v>Weekday</v>
      </c>
      <c r="T405" s="1" t="str">
        <f>VLOOKUP(I405,[1]Lookup!$D$2:$E$5,2,FALSE)</f>
        <v>Mist / Cloudy</v>
      </c>
      <c r="U405" s="1" t="str">
        <f>IF(F405&lt;6,"Night",
IF(F405&lt;12,"Morning",
IF(F405&lt;17,"Afternoon",
IF(F405&lt;21,"Evening","Night"))))</f>
        <v>Evening</v>
      </c>
      <c r="V405" s="1" t="str">
        <f>IF(J405&lt;0.3,"Cold",
IF(J405&lt;0.6,"Pleasant","Hot"))</f>
        <v>Cold</v>
      </c>
      <c r="W405" s="1" t="str">
        <f>IF(L405&lt;0.4,"Low",
IF(L405&lt;0.7,"Medium","High"))</f>
        <v>High</v>
      </c>
      <c r="X405" s="1" t="str">
        <f>IF(M405&lt;0.2,"Low",
IF(M405&lt;0.4,"Medium","High"))</f>
        <v>Low</v>
      </c>
      <c r="Y405" s="1" t="str">
        <f>IF(P405&lt;100,"Low",
IF(P405&lt;300,"Medium","High"))</f>
        <v>Low</v>
      </c>
    </row>
    <row r="406" spans="1:25" x14ac:dyDescent="0.3">
      <c r="A406">
        <v>405</v>
      </c>
      <c r="B406" s="2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  <c r="Q406" t="str">
        <f>VLOOKUP(MasterData[[#This Row],[season]],[1]Lookup!$A$2:$B$5,2,FALSE)</f>
        <v>Spring</v>
      </c>
      <c r="R406" t="str">
        <f>TEXT(DATE(2026,E406,1),"mmmm")</f>
        <v>January</v>
      </c>
      <c r="S406" t="str">
        <f>IF(OR(H406=0,H406=6),"Weekend","Weekday")</f>
        <v>Weekday</v>
      </c>
      <c r="T406" s="1" t="str">
        <f>VLOOKUP(I406,[1]Lookup!$D$2:$E$5,2,FALSE)</f>
        <v>Mist / Cloudy</v>
      </c>
      <c r="U406" s="1" t="str">
        <f>IF(F406&lt;6,"Night",
IF(F406&lt;12,"Morning",
IF(F406&lt;17,"Afternoon",
IF(F406&lt;21,"Evening","Night"))))</f>
        <v>Evening</v>
      </c>
      <c r="V406" s="1" t="str">
        <f>IF(J406&lt;0.3,"Cold",
IF(J406&lt;0.6,"Pleasant","Hot"))</f>
        <v>Cold</v>
      </c>
      <c r="W406" s="1" t="str">
        <f>IF(L406&lt;0.4,"Low",
IF(L406&lt;0.7,"Medium","High"))</f>
        <v>High</v>
      </c>
      <c r="X406" s="1" t="str">
        <f>IF(M406&lt;0.2,"Low",
IF(M406&lt;0.4,"Medium","High"))</f>
        <v>Low</v>
      </c>
      <c r="Y406" s="1" t="str">
        <f>IF(P406&lt;100,"Low",
IF(P406&lt;300,"Medium","High"))</f>
        <v>Low</v>
      </c>
    </row>
    <row r="407" spans="1:25" x14ac:dyDescent="0.3">
      <c r="A407">
        <v>406</v>
      </c>
      <c r="B407" s="2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  <c r="Q407" t="str">
        <f>VLOOKUP(MasterData[[#This Row],[season]],[1]Lookup!$A$2:$B$5,2,FALSE)</f>
        <v>Spring</v>
      </c>
      <c r="R407" t="str">
        <f>TEXT(DATE(2026,E407,1),"mmmm")</f>
        <v>January</v>
      </c>
      <c r="S407" t="str">
        <f>IF(OR(H407=0,H407=6),"Weekend","Weekday")</f>
        <v>Weekday</v>
      </c>
      <c r="T407" s="1" t="str">
        <f>VLOOKUP(I407,[1]Lookup!$D$2:$E$5,2,FALSE)</f>
        <v>Mist / Cloudy</v>
      </c>
      <c r="U407" s="1" t="str">
        <f>IF(F407&lt;6,"Night",
IF(F407&lt;12,"Morning",
IF(F407&lt;17,"Afternoon",
IF(F407&lt;21,"Evening","Night"))))</f>
        <v>Night</v>
      </c>
      <c r="V407" s="1" t="str">
        <f>IF(J407&lt;0.3,"Cold",
IF(J407&lt;0.6,"Pleasant","Hot"))</f>
        <v>Cold</v>
      </c>
      <c r="W407" s="1" t="str">
        <f>IF(L407&lt;0.4,"Low",
IF(L407&lt;0.7,"Medium","High"))</f>
        <v>High</v>
      </c>
      <c r="X407" s="1" t="str">
        <f>IF(M407&lt;0.2,"Low",
IF(M407&lt;0.4,"Medium","High"))</f>
        <v>Low</v>
      </c>
      <c r="Y407" s="1" t="str">
        <f>IF(P407&lt;100,"Low",
IF(P407&lt;300,"Medium","High"))</f>
        <v>Low</v>
      </c>
    </row>
    <row r="408" spans="1:25" x14ac:dyDescent="0.3">
      <c r="A408">
        <v>407</v>
      </c>
      <c r="B408" s="2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 t="str">
        <f>VLOOKUP(MasterData[[#This Row],[season]],[1]Lookup!$A$2:$B$5,2,FALSE)</f>
        <v>Spring</v>
      </c>
      <c r="R408" t="str">
        <f>TEXT(DATE(2026,E408,1),"mmmm")</f>
        <v>January</v>
      </c>
      <c r="S408" t="str">
        <f>IF(OR(H408=0,H408=6),"Weekend","Weekday")</f>
        <v>Weekday</v>
      </c>
      <c r="T408" s="1" t="str">
        <f>VLOOKUP(I408,[1]Lookup!$D$2:$E$5,2,FALSE)</f>
        <v>Mist / Cloudy</v>
      </c>
      <c r="U408" s="1" t="str">
        <f>IF(F408&lt;6,"Night",
IF(F408&lt;12,"Morning",
IF(F408&lt;17,"Afternoon",
IF(F408&lt;21,"Evening","Night"))))</f>
        <v>Night</v>
      </c>
      <c r="V408" s="1" t="str">
        <f>IF(J408&lt;0.3,"Cold",
IF(J408&lt;0.6,"Pleasant","Hot"))</f>
        <v>Cold</v>
      </c>
      <c r="W408" s="1" t="str">
        <f>IF(L408&lt;0.4,"Low",
IF(L408&lt;0.7,"Medium","High"))</f>
        <v>High</v>
      </c>
      <c r="X408" s="1" t="str">
        <f>IF(M408&lt;0.2,"Low",
IF(M408&lt;0.4,"Medium","High"))</f>
        <v>Low</v>
      </c>
      <c r="Y408" s="1" t="str">
        <f>IF(P408&lt;100,"Low",
IF(P408&lt;300,"Medium","High"))</f>
        <v>Low</v>
      </c>
    </row>
    <row r="409" spans="1:25" x14ac:dyDescent="0.3">
      <c r="A409">
        <v>408</v>
      </c>
      <c r="B409" s="2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 t="str">
        <f>VLOOKUP(MasterData[[#This Row],[season]],[1]Lookup!$A$2:$B$5,2,FALSE)</f>
        <v>Spring</v>
      </c>
      <c r="R409" t="str">
        <f>TEXT(DATE(2026,E409,1),"mmmm")</f>
        <v>January</v>
      </c>
      <c r="S409" t="str">
        <f>IF(OR(H409=0,H409=6),"Weekend","Weekday")</f>
        <v>Weekday</v>
      </c>
      <c r="T409" s="1" t="str">
        <f>VLOOKUP(I409,[1]Lookup!$D$2:$E$5,2,FALSE)</f>
        <v>Mist / Cloudy</v>
      </c>
      <c r="U409" s="1" t="str">
        <f>IF(F409&lt;6,"Night",
IF(F409&lt;12,"Morning",
IF(F409&lt;17,"Afternoon",
IF(F409&lt;21,"Evening","Night"))))</f>
        <v>Night</v>
      </c>
      <c r="V409" s="1" t="str">
        <f>IF(J409&lt;0.3,"Cold",
IF(J409&lt;0.6,"Pleasant","Hot"))</f>
        <v>Cold</v>
      </c>
      <c r="W409" s="1" t="str">
        <f>IF(L409&lt;0.4,"Low",
IF(L409&lt;0.7,"Medium","High"))</f>
        <v>High</v>
      </c>
      <c r="X409" s="1" t="str">
        <f>IF(M409&lt;0.2,"Low",
IF(M409&lt;0.4,"Medium","High"))</f>
        <v>Low</v>
      </c>
      <c r="Y409" s="1" t="str">
        <f>IF(P409&lt;100,"Low",
IF(P409&lt;300,"Medium","High"))</f>
        <v>Low</v>
      </c>
    </row>
    <row r="410" spans="1:25" x14ac:dyDescent="0.3">
      <c r="A410">
        <v>409</v>
      </c>
      <c r="B410" s="2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  <c r="Q410" t="str">
        <f>VLOOKUP(MasterData[[#This Row],[season]],[1]Lookup!$A$2:$B$5,2,FALSE)</f>
        <v>Spring</v>
      </c>
      <c r="R410" t="str">
        <f>TEXT(DATE(2026,E410,1),"mmmm")</f>
        <v>January</v>
      </c>
      <c r="S410" t="str">
        <f>IF(OR(H410=0,H410=6),"Weekend","Weekday")</f>
        <v>Weekday</v>
      </c>
      <c r="T410" s="1" t="str">
        <f>VLOOKUP(I410,[1]Lookup!$D$2:$E$5,2,FALSE)</f>
        <v>Mist / Cloudy</v>
      </c>
      <c r="U410" s="1" t="str">
        <f>IF(F410&lt;6,"Night",
IF(F410&lt;12,"Morning",
IF(F410&lt;17,"Afternoon",
IF(F410&lt;21,"Evening","Night"))))</f>
        <v>Night</v>
      </c>
      <c r="V410" s="1" t="str">
        <f>IF(J410&lt;0.3,"Cold",
IF(J410&lt;0.6,"Pleasant","Hot"))</f>
        <v>Cold</v>
      </c>
      <c r="W410" s="1" t="str">
        <f>IF(L410&lt;0.4,"Low",
IF(L410&lt;0.7,"Medium","High"))</f>
        <v>High</v>
      </c>
      <c r="X410" s="1" t="str">
        <f>IF(M410&lt;0.2,"Low",
IF(M410&lt;0.4,"Medium","High"))</f>
        <v>Low</v>
      </c>
      <c r="Y410" s="1" t="str">
        <f>IF(P410&lt;100,"Low",
IF(P410&lt;300,"Medium","High"))</f>
        <v>Low</v>
      </c>
    </row>
    <row r="411" spans="1:25" x14ac:dyDescent="0.3">
      <c r="A411">
        <v>410</v>
      </c>
      <c r="B411" s="2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 t="str">
        <f>VLOOKUP(MasterData[[#This Row],[season]],[1]Lookup!$A$2:$B$5,2,FALSE)</f>
        <v>Spring</v>
      </c>
      <c r="R411" t="str">
        <f>TEXT(DATE(2026,E411,1),"mmmm")</f>
        <v>January</v>
      </c>
      <c r="S411" t="str">
        <f>IF(OR(H411=0,H411=6),"Weekend","Weekday")</f>
        <v>Weekday</v>
      </c>
      <c r="T411" s="1" t="str">
        <f>VLOOKUP(I411,[1]Lookup!$D$2:$E$5,2,FALSE)</f>
        <v>Light Rain / Snow</v>
      </c>
      <c r="U411" s="1" t="str">
        <f>IF(F411&lt;6,"Night",
IF(F411&lt;12,"Morning",
IF(F411&lt;17,"Afternoon",
IF(F411&lt;21,"Evening","Night"))))</f>
        <v>Night</v>
      </c>
      <c r="V411" s="1" t="str">
        <f>IF(J411&lt;0.3,"Cold",
IF(J411&lt;0.6,"Pleasant","Hot"))</f>
        <v>Cold</v>
      </c>
      <c r="W411" s="1" t="str">
        <f>IF(L411&lt;0.4,"Low",
IF(L411&lt;0.7,"Medium","High"))</f>
        <v>High</v>
      </c>
      <c r="X411" s="1" t="str">
        <f>IF(M411&lt;0.2,"Low",
IF(M411&lt;0.4,"Medium","High"))</f>
        <v>Low</v>
      </c>
      <c r="Y411" s="1" t="str">
        <f>IF(P411&lt;100,"Low",
IF(P411&lt;300,"Medium","High"))</f>
        <v>Low</v>
      </c>
    </row>
    <row r="412" spans="1:25" x14ac:dyDescent="0.3">
      <c r="A412">
        <v>411</v>
      </c>
      <c r="B412" s="2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 t="str">
        <f>VLOOKUP(MasterData[[#This Row],[season]],[1]Lookup!$A$2:$B$5,2,FALSE)</f>
        <v>Spring</v>
      </c>
      <c r="R412" t="str">
        <f>TEXT(DATE(2026,E412,1),"mmmm")</f>
        <v>January</v>
      </c>
      <c r="S412" t="str">
        <f>IF(OR(H412=0,H412=6),"Weekend","Weekday")</f>
        <v>Weekday</v>
      </c>
      <c r="T412" s="1" t="str">
        <f>VLOOKUP(I412,[1]Lookup!$D$2:$E$5,2,FALSE)</f>
        <v>Light Rain / Snow</v>
      </c>
      <c r="U412" s="1" t="str">
        <f>IF(F412&lt;6,"Night",
IF(F412&lt;12,"Morning",
IF(F412&lt;17,"Afternoon",
IF(F412&lt;21,"Evening","Night"))))</f>
        <v>Night</v>
      </c>
      <c r="V412" s="1" t="str">
        <f>IF(J412&lt;0.3,"Cold",
IF(J412&lt;0.6,"Pleasant","Hot"))</f>
        <v>Cold</v>
      </c>
      <c r="W412" s="1" t="str">
        <f>IF(L412&lt;0.4,"Low",
IF(L412&lt;0.7,"Medium","High"))</f>
        <v>High</v>
      </c>
      <c r="X412" s="1" t="str">
        <f>IF(M412&lt;0.2,"Low",
IF(M412&lt;0.4,"Medium","High"))</f>
        <v>Low</v>
      </c>
      <c r="Y412" s="1" t="str">
        <f>IF(P412&lt;100,"Low",
IF(P412&lt;300,"Medium","High"))</f>
        <v>Low</v>
      </c>
    </row>
    <row r="413" spans="1:25" x14ac:dyDescent="0.3">
      <c r="A413">
        <v>412</v>
      </c>
      <c r="B413" s="2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  <c r="Q413" t="str">
        <f>VLOOKUP(MasterData[[#This Row],[season]],[1]Lookup!$A$2:$B$5,2,FALSE)</f>
        <v>Spring</v>
      </c>
      <c r="R413" t="str">
        <f>TEXT(DATE(2026,E413,1),"mmmm")</f>
        <v>January</v>
      </c>
      <c r="S413" t="str">
        <f>IF(OR(H413=0,H413=6),"Weekend","Weekday")</f>
        <v>Weekday</v>
      </c>
      <c r="T413" s="1" t="str">
        <f>VLOOKUP(I413,[1]Lookup!$D$2:$E$5,2,FALSE)</f>
        <v>Light Rain / Snow</v>
      </c>
      <c r="U413" s="1" t="str">
        <f>IF(F413&lt;6,"Night",
IF(F413&lt;12,"Morning",
IF(F413&lt;17,"Afternoon",
IF(F413&lt;21,"Evening","Night"))))</f>
        <v>Night</v>
      </c>
      <c r="V413" s="1" t="str">
        <f>IF(J413&lt;0.3,"Cold",
IF(J413&lt;0.6,"Pleasant","Hot"))</f>
        <v>Cold</v>
      </c>
      <c r="W413" s="1" t="str">
        <f>IF(L413&lt;0.4,"Low",
IF(L413&lt;0.7,"Medium","High"))</f>
        <v>High</v>
      </c>
      <c r="X413" s="1" t="str">
        <f>IF(M413&lt;0.2,"Low",
IF(M413&lt;0.4,"Medium","High"))</f>
        <v>Low</v>
      </c>
      <c r="Y413" s="1" t="str">
        <f>IF(P413&lt;100,"Low",
IF(P413&lt;300,"Medium","High"))</f>
        <v>Low</v>
      </c>
    </row>
    <row r="414" spans="1:25" x14ac:dyDescent="0.3">
      <c r="A414">
        <v>413</v>
      </c>
      <c r="B414" s="2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 t="str">
        <f>VLOOKUP(MasterData[[#This Row],[season]],[1]Lookup!$A$2:$B$5,2,FALSE)</f>
        <v>Spring</v>
      </c>
      <c r="R414" t="str">
        <f>TEXT(DATE(2026,E414,1),"mmmm")</f>
        <v>January</v>
      </c>
      <c r="S414" t="str">
        <f>IF(OR(H414=0,H414=6),"Weekend","Weekday")</f>
        <v>Weekday</v>
      </c>
      <c r="T414" s="1" t="str">
        <f>VLOOKUP(I414,[1]Lookup!$D$2:$E$5,2,FALSE)</f>
        <v>Mist / Cloudy</v>
      </c>
      <c r="U414" s="1" t="str">
        <f>IF(F414&lt;6,"Night",
IF(F414&lt;12,"Morning",
IF(F414&lt;17,"Afternoon",
IF(F414&lt;21,"Evening","Night"))))</f>
        <v>Night</v>
      </c>
      <c r="V414" s="1" t="str">
        <f>IF(J414&lt;0.3,"Cold",
IF(J414&lt;0.6,"Pleasant","Hot"))</f>
        <v>Cold</v>
      </c>
      <c r="W414" s="1" t="str">
        <f>IF(L414&lt;0.4,"Low",
IF(L414&lt;0.7,"Medium","High"))</f>
        <v>High</v>
      </c>
      <c r="X414" s="1" t="str">
        <f>IF(M414&lt;0.2,"Low",
IF(M414&lt;0.4,"Medium","High"))</f>
        <v>Low</v>
      </c>
      <c r="Y414" s="1" t="str">
        <f>IF(P414&lt;100,"Low",
IF(P414&lt;300,"Medium","High"))</f>
        <v>Low</v>
      </c>
    </row>
    <row r="415" spans="1:25" x14ac:dyDescent="0.3">
      <c r="A415">
        <v>414</v>
      </c>
      <c r="B415" s="2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 t="str">
        <f>VLOOKUP(MasterData[[#This Row],[season]],[1]Lookup!$A$2:$B$5,2,FALSE)</f>
        <v>Spring</v>
      </c>
      <c r="R415" t="str">
        <f>TEXT(DATE(2026,E415,1),"mmmm")</f>
        <v>January</v>
      </c>
      <c r="S415" t="str">
        <f>IF(OR(H415=0,H415=6),"Weekend","Weekday")</f>
        <v>Weekday</v>
      </c>
      <c r="T415" s="1" t="str">
        <f>VLOOKUP(I415,[1]Lookup!$D$2:$E$5,2,FALSE)</f>
        <v>Mist / Cloudy</v>
      </c>
      <c r="U415" s="1" t="str">
        <f>IF(F415&lt;6,"Night",
IF(F415&lt;12,"Morning",
IF(F415&lt;17,"Afternoon",
IF(F415&lt;21,"Evening","Night"))))</f>
        <v>Morning</v>
      </c>
      <c r="V415" s="1" t="str">
        <f>IF(J415&lt;0.3,"Cold",
IF(J415&lt;0.6,"Pleasant","Hot"))</f>
        <v>Cold</v>
      </c>
      <c r="W415" s="1" t="str">
        <f>IF(L415&lt;0.4,"Low",
IF(L415&lt;0.7,"Medium","High"))</f>
        <v>High</v>
      </c>
      <c r="X415" s="1" t="str">
        <f>IF(M415&lt;0.2,"Low",
IF(M415&lt;0.4,"Medium","High"))</f>
        <v>Low</v>
      </c>
      <c r="Y415" s="1" t="str">
        <f>IF(P415&lt;100,"Low",
IF(P415&lt;300,"Medium","High"))</f>
        <v>Low</v>
      </c>
    </row>
    <row r="416" spans="1:25" x14ac:dyDescent="0.3">
      <c r="A416">
        <v>415</v>
      </c>
      <c r="B416" s="2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 t="str">
        <f>VLOOKUP(MasterData[[#This Row],[season]],[1]Lookup!$A$2:$B$5,2,FALSE)</f>
        <v>Spring</v>
      </c>
      <c r="R416" t="str">
        <f>TEXT(DATE(2026,E416,1),"mmmm")</f>
        <v>January</v>
      </c>
      <c r="S416" t="str">
        <f>IF(OR(H416=0,H416=6),"Weekend","Weekday")</f>
        <v>Weekday</v>
      </c>
      <c r="T416" s="1" t="str">
        <f>VLOOKUP(I416,[1]Lookup!$D$2:$E$5,2,FALSE)</f>
        <v>Mist / Cloudy</v>
      </c>
      <c r="U416" s="1" t="str">
        <f>IF(F416&lt;6,"Night",
IF(F416&lt;12,"Morning",
IF(F416&lt;17,"Afternoon",
IF(F416&lt;21,"Evening","Night"))))</f>
        <v>Morning</v>
      </c>
      <c r="V416" s="1" t="str">
        <f>IF(J416&lt;0.3,"Cold",
IF(J416&lt;0.6,"Pleasant","Hot"))</f>
        <v>Cold</v>
      </c>
      <c r="W416" s="1" t="str">
        <f>IF(L416&lt;0.4,"Low",
IF(L416&lt;0.7,"Medium","High"))</f>
        <v>High</v>
      </c>
      <c r="X416" s="1" t="str">
        <f>IF(M416&lt;0.2,"Low",
IF(M416&lt;0.4,"Medium","High"))</f>
        <v>Low</v>
      </c>
      <c r="Y416" s="1" t="str">
        <f>IF(P416&lt;100,"Low",
IF(P416&lt;300,"Medium","High"))</f>
        <v>Low</v>
      </c>
    </row>
    <row r="417" spans="1:25" x14ac:dyDescent="0.3">
      <c r="A417">
        <v>416</v>
      </c>
      <c r="B417" s="2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 t="str">
        <f>VLOOKUP(MasterData[[#This Row],[season]],[1]Lookup!$A$2:$B$5,2,FALSE)</f>
        <v>Spring</v>
      </c>
      <c r="R417" t="str">
        <f>TEXT(DATE(2026,E417,1),"mmmm")</f>
        <v>January</v>
      </c>
      <c r="S417" t="str">
        <f>IF(OR(H417=0,H417=6),"Weekend","Weekday")</f>
        <v>Weekday</v>
      </c>
      <c r="T417" s="1" t="str">
        <f>VLOOKUP(I417,[1]Lookup!$D$2:$E$5,2,FALSE)</f>
        <v>Mist / Cloudy</v>
      </c>
      <c r="U417" s="1" t="str">
        <f>IF(F417&lt;6,"Night",
IF(F417&lt;12,"Morning",
IF(F417&lt;17,"Afternoon",
IF(F417&lt;21,"Evening","Night"))))</f>
        <v>Morning</v>
      </c>
      <c r="V417" s="1" t="str">
        <f>IF(J417&lt;0.3,"Cold",
IF(J417&lt;0.6,"Pleasant","Hot"))</f>
        <v>Cold</v>
      </c>
      <c r="W417" s="1" t="str">
        <f>IF(L417&lt;0.4,"Low",
IF(L417&lt;0.7,"Medium","High"))</f>
        <v>High</v>
      </c>
      <c r="X417" s="1" t="str">
        <f>IF(M417&lt;0.2,"Low",
IF(M417&lt;0.4,"Medium","High"))</f>
        <v>Low</v>
      </c>
      <c r="Y417" s="1" t="str">
        <f>IF(P417&lt;100,"Low",
IF(P417&lt;300,"Medium","High"))</f>
        <v>Medium</v>
      </c>
    </row>
    <row r="418" spans="1:25" x14ac:dyDescent="0.3">
      <c r="A418">
        <v>417</v>
      </c>
      <c r="B418" s="2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 t="str">
        <f>VLOOKUP(MasterData[[#This Row],[season]],[1]Lookup!$A$2:$B$5,2,FALSE)</f>
        <v>Spring</v>
      </c>
      <c r="R418" t="str">
        <f>TEXT(DATE(2026,E418,1),"mmmm")</f>
        <v>January</v>
      </c>
      <c r="S418" t="str">
        <f>IF(OR(H418=0,H418=6),"Weekend","Weekday")</f>
        <v>Weekday</v>
      </c>
      <c r="T418" s="1" t="str">
        <f>VLOOKUP(I418,[1]Lookup!$D$2:$E$5,2,FALSE)</f>
        <v>Mist / Cloudy</v>
      </c>
      <c r="U418" s="1" t="str">
        <f>IF(F418&lt;6,"Night",
IF(F418&lt;12,"Morning",
IF(F418&lt;17,"Afternoon",
IF(F418&lt;21,"Evening","Night"))))</f>
        <v>Morning</v>
      </c>
      <c r="V418" s="1" t="str">
        <f>IF(J418&lt;0.3,"Cold",
IF(J418&lt;0.6,"Pleasant","Hot"))</f>
        <v>Cold</v>
      </c>
      <c r="W418" s="1" t="str">
        <f>IF(L418&lt;0.4,"Low",
IF(L418&lt;0.7,"Medium","High"))</f>
        <v>High</v>
      </c>
      <c r="X418" s="1" t="str">
        <f>IF(M418&lt;0.2,"Low",
IF(M418&lt;0.4,"Medium","High"))</f>
        <v>Low</v>
      </c>
      <c r="Y418" s="1" t="str">
        <f>IF(P418&lt;100,"Low",
IF(P418&lt;300,"Medium","High"))</f>
        <v>Medium</v>
      </c>
    </row>
    <row r="419" spans="1:25" x14ac:dyDescent="0.3">
      <c r="A419">
        <v>418</v>
      </c>
      <c r="B419" s="2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  <c r="Q419" t="str">
        <f>VLOOKUP(MasterData[[#This Row],[season]],[1]Lookup!$A$2:$B$5,2,FALSE)</f>
        <v>Spring</v>
      </c>
      <c r="R419" t="str">
        <f>TEXT(DATE(2026,E419,1),"mmmm")</f>
        <v>January</v>
      </c>
      <c r="S419" t="str">
        <f>IF(OR(H419=0,H419=6),"Weekend","Weekday")</f>
        <v>Weekday</v>
      </c>
      <c r="T419" s="1" t="str">
        <f>VLOOKUP(I419,[1]Lookup!$D$2:$E$5,2,FALSE)</f>
        <v>Mist / Cloudy</v>
      </c>
      <c r="U419" s="1" t="str">
        <f>IF(F419&lt;6,"Night",
IF(F419&lt;12,"Morning",
IF(F419&lt;17,"Afternoon",
IF(F419&lt;21,"Evening","Night"))))</f>
        <v>Morning</v>
      </c>
      <c r="V419" s="1" t="str">
        <f>IF(J419&lt;0.3,"Cold",
IF(J419&lt;0.6,"Pleasant","Hot"))</f>
        <v>Cold</v>
      </c>
      <c r="W419" s="1" t="str">
        <f>IF(L419&lt;0.4,"Low",
IF(L419&lt;0.7,"Medium","High"))</f>
        <v>High</v>
      </c>
      <c r="X419" s="1" t="str">
        <f>IF(M419&lt;0.2,"Low",
IF(M419&lt;0.4,"Medium","High"))</f>
        <v>Low</v>
      </c>
      <c r="Y419" s="1" t="str">
        <f>IF(P419&lt;100,"Low",
IF(P419&lt;300,"Medium","High"))</f>
        <v>Low</v>
      </c>
    </row>
    <row r="420" spans="1:25" x14ac:dyDescent="0.3">
      <c r="A420">
        <v>419</v>
      </c>
      <c r="B420" s="2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 t="str">
        <f>VLOOKUP(MasterData[[#This Row],[season]],[1]Lookup!$A$2:$B$5,2,FALSE)</f>
        <v>Spring</v>
      </c>
      <c r="R420" t="str">
        <f>TEXT(DATE(2026,E420,1),"mmmm")</f>
        <v>January</v>
      </c>
      <c r="S420" t="str">
        <f>IF(OR(H420=0,H420=6),"Weekend","Weekday")</f>
        <v>Weekday</v>
      </c>
      <c r="T420" s="1" t="str">
        <f>VLOOKUP(I420,[1]Lookup!$D$2:$E$5,2,FALSE)</f>
        <v>Mist / Cloudy</v>
      </c>
      <c r="U420" s="1" t="str">
        <f>IF(F420&lt;6,"Night",
IF(F420&lt;12,"Morning",
IF(F420&lt;17,"Afternoon",
IF(F420&lt;21,"Evening","Night"))))</f>
        <v>Morning</v>
      </c>
      <c r="V420" s="1" t="str">
        <f>IF(J420&lt;0.3,"Cold",
IF(J420&lt;0.6,"Pleasant","Hot"))</f>
        <v>Cold</v>
      </c>
      <c r="W420" s="1" t="str">
        <f>IF(L420&lt;0.4,"Low",
IF(L420&lt;0.7,"Medium","High"))</f>
        <v>High</v>
      </c>
      <c r="X420" s="1" t="str">
        <f>IF(M420&lt;0.2,"Low",
IF(M420&lt;0.4,"Medium","High"))</f>
        <v>Low</v>
      </c>
      <c r="Y420" s="1" t="str">
        <f>IF(P420&lt;100,"Low",
IF(P420&lt;300,"Medium","High"))</f>
        <v>Low</v>
      </c>
    </row>
    <row r="421" spans="1:25" x14ac:dyDescent="0.3">
      <c r="A421">
        <v>420</v>
      </c>
      <c r="B421" s="2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 t="str">
        <f>VLOOKUP(MasterData[[#This Row],[season]],[1]Lookup!$A$2:$B$5,2,FALSE)</f>
        <v>Spring</v>
      </c>
      <c r="R421" t="str">
        <f>TEXT(DATE(2026,E421,1),"mmmm")</f>
        <v>January</v>
      </c>
      <c r="S421" t="str">
        <f>IF(OR(H421=0,H421=6),"Weekend","Weekday")</f>
        <v>Weekday</v>
      </c>
      <c r="T421" s="1" t="str">
        <f>VLOOKUP(I421,[1]Lookup!$D$2:$E$5,2,FALSE)</f>
        <v>Mist / Cloudy</v>
      </c>
      <c r="U421" s="1" t="str">
        <f>IF(F421&lt;6,"Night",
IF(F421&lt;12,"Morning",
IF(F421&lt;17,"Afternoon",
IF(F421&lt;21,"Evening","Night"))))</f>
        <v>Afternoon</v>
      </c>
      <c r="V421" s="1" t="str">
        <f>IF(J421&lt;0.3,"Cold",
IF(J421&lt;0.6,"Pleasant","Hot"))</f>
        <v>Pleasant</v>
      </c>
      <c r="W421" s="1" t="str">
        <f>IF(L421&lt;0.4,"Low",
IF(L421&lt;0.7,"Medium","High"))</f>
        <v>High</v>
      </c>
      <c r="X421" s="1" t="str">
        <f>IF(M421&lt;0.2,"Low",
IF(M421&lt;0.4,"Medium","High"))</f>
        <v>Low</v>
      </c>
      <c r="Y421" s="1" t="str">
        <f>IF(P421&lt;100,"Low",
IF(P421&lt;300,"Medium","High"))</f>
        <v>Low</v>
      </c>
    </row>
    <row r="422" spans="1:25" x14ac:dyDescent="0.3">
      <c r="A422">
        <v>421</v>
      </c>
      <c r="B422" s="2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 t="str">
        <f>VLOOKUP(MasterData[[#This Row],[season]],[1]Lookup!$A$2:$B$5,2,FALSE)</f>
        <v>Spring</v>
      </c>
      <c r="R422" t="str">
        <f>TEXT(DATE(2026,E422,1),"mmmm")</f>
        <v>January</v>
      </c>
      <c r="S422" t="str">
        <f>IF(OR(H422=0,H422=6),"Weekend","Weekday")</f>
        <v>Weekday</v>
      </c>
      <c r="T422" s="1" t="str">
        <f>VLOOKUP(I422,[1]Lookup!$D$2:$E$5,2,FALSE)</f>
        <v>Clear</v>
      </c>
      <c r="U422" s="1" t="str">
        <f>IF(F422&lt;6,"Night",
IF(F422&lt;12,"Morning",
IF(F422&lt;17,"Afternoon",
IF(F422&lt;21,"Evening","Night"))))</f>
        <v>Afternoon</v>
      </c>
      <c r="V422" s="1" t="str">
        <f>IF(J422&lt;0.3,"Cold",
IF(J422&lt;0.6,"Pleasant","Hot"))</f>
        <v>Pleasant</v>
      </c>
      <c r="W422" s="1" t="str">
        <f>IF(L422&lt;0.4,"Low",
IF(L422&lt;0.7,"Medium","High"))</f>
        <v>Medium</v>
      </c>
      <c r="X422" s="1" t="str">
        <f>IF(M422&lt;0.2,"Low",
IF(M422&lt;0.4,"Medium","High"))</f>
        <v>Medium</v>
      </c>
      <c r="Y422" s="1" t="str">
        <f>IF(P422&lt;100,"Low",
IF(P422&lt;300,"Medium","High"))</f>
        <v>Low</v>
      </c>
    </row>
    <row r="423" spans="1:25" x14ac:dyDescent="0.3">
      <c r="A423">
        <v>422</v>
      </c>
      <c r="B423" s="2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 t="str">
        <f>VLOOKUP(MasterData[[#This Row],[season]],[1]Lookup!$A$2:$B$5,2,FALSE)</f>
        <v>Spring</v>
      </c>
      <c r="R423" t="str">
        <f>TEXT(DATE(2026,E423,1),"mmmm")</f>
        <v>January</v>
      </c>
      <c r="S423" t="str">
        <f>IF(OR(H423=0,H423=6),"Weekend","Weekday")</f>
        <v>Weekday</v>
      </c>
      <c r="T423" s="1" t="str">
        <f>VLOOKUP(I423,[1]Lookup!$D$2:$E$5,2,FALSE)</f>
        <v>Clear</v>
      </c>
      <c r="U423" s="1" t="str">
        <f>IF(F423&lt;6,"Night",
IF(F423&lt;12,"Morning",
IF(F423&lt;17,"Afternoon",
IF(F423&lt;21,"Evening","Night"))))</f>
        <v>Afternoon</v>
      </c>
      <c r="V423" s="1" t="str">
        <f>IF(J423&lt;0.3,"Cold",
IF(J423&lt;0.6,"Pleasant","Hot"))</f>
        <v>Pleasant</v>
      </c>
      <c r="W423" s="1" t="str">
        <f>IF(L423&lt;0.4,"Low",
IF(L423&lt;0.7,"Medium","High"))</f>
        <v>Medium</v>
      </c>
      <c r="X423" s="1" t="str">
        <f>IF(M423&lt;0.2,"Low",
IF(M423&lt;0.4,"Medium","High"))</f>
        <v>Medium</v>
      </c>
      <c r="Y423" s="1" t="str">
        <f>IF(P423&lt;100,"Low",
IF(P423&lt;300,"Medium","High"))</f>
        <v>Low</v>
      </c>
    </row>
    <row r="424" spans="1:25" x14ac:dyDescent="0.3">
      <c r="A424">
        <v>423</v>
      </c>
      <c r="B424" s="2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 t="str">
        <f>VLOOKUP(MasterData[[#This Row],[season]],[1]Lookup!$A$2:$B$5,2,FALSE)</f>
        <v>Spring</v>
      </c>
      <c r="R424" t="str">
        <f>TEXT(DATE(2026,E424,1),"mmmm")</f>
        <v>January</v>
      </c>
      <c r="S424" t="str">
        <f>IF(OR(H424=0,H424=6),"Weekend","Weekday")</f>
        <v>Weekday</v>
      </c>
      <c r="T424" s="1" t="str">
        <f>VLOOKUP(I424,[1]Lookup!$D$2:$E$5,2,FALSE)</f>
        <v>Clear</v>
      </c>
      <c r="U424" s="1" t="str">
        <f>IF(F424&lt;6,"Night",
IF(F424&lt;12,"Morning",
IF(F424&lt;17,"Afternoon",
IF(F424&lt;21,"Evening","Night"))))</f>
        <v>Afternoon</v>
      </c>
      <c r="V424" s="1" t="str">
        <f>IF(J424&lt;0.3,"Cold",
IF(J424&lt;0.6,"Pleasant","Hot"))</f>
        <v>Pleasant</v>
      </c>
      <c r="W424" s="1" t="str">
        <f>IF(L424&lt;0.4,"Low",
IF(L424&lt;0.7,"Medium","High"))</f>
        <v>Medium</v>
      </c>
      <c r="X424" s="1" t="str">
        <f>IF(M424&lt;0.2,"Low",
IF(M424&lt;0.4,"Medium","High"))</f>
        <v>Medium</v>
      </c>
      <c r="Y424" s="1" t="str">
        <f>IF(P424&lt;100,"Low",
IF(P424&lt;300,"Medium","High"))</f>
        <v>Low</v>
      </c>
    </row>
    <row r="425" spans="1:25" x14ac:dyDescent="0.3">
      <c r="A425">
        <v>424</v>
      </c>
      <c r="B425" s="2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 t="str">
        <f>VLOOKUP(MasterData[[#This Row],[season]],[1]Lookup!$A$2:$B$5,2,FALSE)</f>
        <v>Spring</v>
      </c>
      <c r="R425" t="str">
        <f>TEXT(DATE(2026,E425,1),"mmmm")</f>
        <v>January</v>
      </c>
      <c r="S425" t="str">
        <f>IF(OR(H425=0,H425=6),"Weekend","Weekday")</f>
        <v>Weekday</v>
      </c>
      <c r="T425" s="1" t="str">
        <f>VLOOKUP(I425,[1]Lookup!$D$2:$E$5,2,FALSE)</f>
        <v>Clear</v>
      </c>
      <c r="U425" s="1" t="str">
        <f>IF(F425&lt;6,"Night",
IF(F425&lt;12,"Morning",
IF(F425&lt;17,"Afternoon",
IF(F425&lt;21,"Evening","Night"))))</f>
        <v>Afternoon</v>
      </c>
      <c r="V425" s="1" t="str">
        <f>IF(J425&lt;0.3,"Cold",
IF(J425&lt;0.6,"Pleasant","Hot"))</f>
        <v>Pleasant</v>
      </c>
      <c r="W425" s="1" t="str">
        <f>IF(L425&lt;0.4,"Low",
IF(L425&lt;0.7,"Medium","High"))</f>
        <v>Medium</v>
      </c>
      <c r="X425" s="1" t="str">
        <f>IF(M425&lt;0.2,"Low",
IF(M425&lt;0.4,"Medium","High"))</f>
        <v>Medium</v>
      </c>
      <c r="Y425" s="1" t="str">
        <f>IF(P425&lt;100,"Low",
IF(P425&lt;300,"Medium","High"))</f>
        <v>Medium</v>
      </c>
    </row>
    <row r="426" spans="1:25" x14ac:dyDescent="0.3">
      <c r="A426">
        <v>425</v>
      </c>
      <c r="B426" s="2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 t="str">
        <f>VLOOKUP(MasterData[[#This Row],[season]],[1]Lookup!$A$2:$B$5,2,FALSE)</f>
        <v>Spring</v>
      </c>
      <c r="R426" t="str">
        <f>TEXT(DATE(2026,E426,1),"mmmm")</f>
        <v>January</v>
      </c>
      <c r="S426" t="str">
        <f>IF(OR(H426=0,H426=6),"Weekend","Weekday")</f>
        <v>Weekday</v>
      </c>
      <c r="T426" s="1" t="str">
        <f>VLOOKUP(I426,[1]Lookup!$D$2:$E$5,2,FALSE)</f>
        <v>Clear</v>
      </c>
      <c r="U426" s="1" t="str">
        <f>IF(F426&lt;6,"Night",
IF(F426&lt;12,"Morning",
IF(F426&lt;17,"Afternoon",
IF(F426&lt;21,"Evening","Night"))))</f>
        <v>Evening</v>
      </c>
      <c r="V426" s="1" t="str">
        <f>IF(J426&lt;0.3,"Cold",
IF(J426&lt;0.6,"Pleasant","Hot"))</f>
        <v>Pleasant</v>
      </c>
      <c r="W426" s="1" t="str">
        <f>IF(L426&lt;0.4,"Low",
IF(L426&lt;0.7,"Medium","High"))</f>
        <v>Medium</v>
      </c>
      <c r="X426" s="1" t="str">
        <f>IF(M426&lt;0.2,"Low",
IF(M426&lt;0.4,"Medium","High"))</f>
        <v>Medium</v>
      </c>
      <c r="Y426" s="1" t="str">
        <f>IF(P426&lt;100,"Low",
IF(P426&lt;300,"Medium","High"))</f>
        <v>Medium</v>
      </c>
    </row>
    <row r="427" spans="1:25" x14ac:dyDescent="0.3">
      <c r="A427">
        <v>426</v>
      </c>
      <c r="B427" s="2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 t="str">
        <f>VLOOKUP(MasterData[[#This Row],[season]],[1]Lookup!$A$2:$B$5,2,FALSE)</f>
        <v>Spring</v>
      </c>
      <c r="R427" t="str">
        <f>TEXT(DATE(2026,E427,1),"mmmm")</f>
        <v>January</v>
      </c>
      <c r="S427" t="str">
        <f>IF(OR(H427=0,H427=6),"Weekend","Weekday")</f>
        <v>Weekday</v>
      </c>
      <c r="T427" s="1" t="str">
        <f>VLOOKUP(I427,[1]Lookup!$D$2:$E$5,2,FALSE)</f>
        <v>Clear</v>
      </c>
      <c r="U427" s="1" t="str">
        <f>IF(F427&lt;6,"Night",
IF(F427&lt;12,"Morning",
IF(F427&lt;17,"Afternoon",
IF(F427&lt;21,"Evening","Night"))))</f>
        <v>Evening</v>
      </c>
      <c r="V427" s="1" t="str">
        <f>IF(J427&lt;0.3,"Cold",
IF(J427&lt;0.6,"Pleasant","Hot"))</f>
        <v>Pleasant</v>
      </c>
      <c r="W427" s="1" t="str">
        <f>IF(L427&lt;0.4,"Low",
IF(L427&lt;0.7,"Medium","High"))</f>
        <v>Medium</v>
      </c>
      <c r="X427" s="1" t="str">
        <f>IF(M427&lt;0.2,"Low",
IF(M427&lt;0.4,"Medium","High"))</f>
        <v>Medium</v>
      </c>
      <c r="Y427" s="1" t="str">
        <f>IF(P427&lt;100,"Low",
IF(P427&lt;300,"Medium","High"))</f>
        <v>Medium</v>
      </c>
    </row>
    <row r="428" spans="1:25" x14ac:dyDescent="0.3">
      <c r="A428">
        <v>427</v>
      </c>
      <c r="B428" s="2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 t="str">
        <f>VLOOKUP(MasterData[[#This Row],[season]],[1]Lookup!$A$2:$B$5,2,FALSE)</f>
        <v>Spring</v>
      </c>
      <c r="R428" t="str">
        <f>TEXT(DATE(2026,E428,1),"mmmm")</f>
        <v>January</v>
      </c>
      <c r="S428" t="str">
        <f>IF(OR(H428=0,H428=6),"Weekend","Weekday")</f>
        <v>Weekday</v>
      </c>
      <c r="T428" s="1" t="str">
        <f>VLOOKUP(I428,[1]Lookup!$D$2:$E$5,2,FALSE)</f>
        <v>Clear</v>
      </c>
      <c r="U428" s="1" t="str">
        <f>IF(F428&lt;6,"Night",
IF(F428&lt;12,"Morning",
IF(F428&lt;17,"Afternoon",
IF(F428&lt;21,"Evening","Night"))))</f>
        <v>Evening</v>
      </c>
      <c r="V428" s="1" t="str">
        <f>IF(J428&lt;0.3,"Cold",
IF(J428&lt;0.6,"Pleasant","Hot"))</f>
        <v>Pleasant</v>
      </c>
      <c r="W428" s="1" t="str">
        <f>IF(L428&lt;0.4,"Low",
IF(L428&lt;0.7,"Medium","High"))</f>
        <v>Medium</v>
      </c>
      <c r="X428" s="1" t="str">
        <f>IF(M428&lt;0.2,"Low",
IF(M428&lt;0.4,"Medium","High"))</f>
        <v>High</v>
      </c>
      <c r="Y428" s="1" t="str">
        <f>IF(P428&lt;100,"Low",
IF(P428&lt;300,"Medium","High"))</f>
        <v>Medium</v>
      </c>
    </row>
    <row r="429" spans="1:25" x14ac:dyDescent="0.3">
      <c r="A429">
        <v>428</v>
      </c>
      <c r="B429" s="2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 t="str">
        <f>VLOOKUP(MasterData[[#This Row],[season]],[1]Lookup!$A$2:$B$5,2,FALSE)</f>
        <v>Spring</v>
      </c>
      <c r="R429" t="str">
        <f>TEXT(DATE(2026,E429,1),"mmmm")</f>
        <v>January</v>
      </c>
      <c r="S429" t="str">
        <f>IF(OR(H429=0,H429=6),"Weekend","Weekday")</f>
        <v>Weekday</v>
      </c>
      <c r="T429" s="1" t="str">
        <f>VLOOKUP(I429,[1]Lookup!$D$2:$E$5,2,FALSE)</f>
        <v>Clear</v>
      </c>
      <c r="U429" s="1" t="str">
        <f>IF(F429&lt;6,"Night",
IF(F429&lt;12,"Morning",
IF(F429&lt;17,"Afternoon",
IF(F429&lt;21,"Evening","Night"))))</f>
        <v>Evening</v>
      </c>
      <c r="V429" s="1" t="str">
        <f>IF(J429&lt;0.3,"Cold",
IF(J429&lt;0.6,"Pleasant","Hot"))</f>
        <v>Pleasant</v>
      </c>
      <c r="W429" s="1" t="str">
        <f>IF(L429&lt;0.4,"Low",
IF(L429&lt;0.7,"Medium","High"))</f>
        <v>Medium</v>
      </c>
      <c r="X429" s="1" t="str">
        <f>IF(M429&lt;0.2,"Low",
IF(M429&lt;0.4,"Medium","High"))</f>
        <v>Medium</v>
      </c>
      <c r="Y429" s="1" t="str">
        <f>IF(P429&lt;100,"Low",
IF(P429&lt;300,"Medium","High"))</f>
        <v>Low</v>
      </c>
    </row>
    <row r="430" spans="1:25" x14ac:dyDescent="0.3">
      <c r="A430">
        <v>429</v>
      </c>
      <c r="B430" s="2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 t="str">
        <f>VLOOKUP(MasterData[[#This Row],[season]],[1]Lookup!$A$2:$B$5,2,FALSE)</f>
        <v>Spring</v>
      </c>
      <c r="R430" t="str">
        <f>TEXT(DATE(2026,E430,1),"mmmm")</f>
        <v>January</v>
      </c>
      <c r="S430" t="str">
        <f>IF(OR(H430=0,H430=6),"Weekend","Weekday")</f>
        <v>Weekday</v>
      </c>
      <c r="T430" s="1" t="str">
        <f>VLOOKUP(I430,[1]Lookup!$D$2:$E$5,2,FALSE)</f>
        <v>Clear</v>
      </c>
      <c r="U430" s="1" t="str">
        <f>IF(F430&lt;6,"Night",
IF(F430&lt;12,"Morning",
IF(F430&lt;17,"Afternoon",
IF(F430&lt;21,"Evening","Night"))))</f>
        <v>Night</v>
      </c>
      <c r="V430" s="1" t="str">
        <f>IF(J430&lt;0.3,"Cold",
IF(J430&lt;0.6,"Pleasant","Hot"))</f>
        <v>Pleasant</v>
      </c>
      <c r="W430" s="1" t="str">
        <f>IF(L430&lt;0.4,"Low",
IF(L430&lt;0.7,"Medium","High"))</f>
        <v>Medium</v>
      </c>
      <c r="X430" s="1" t="str">
        <f>IF(M430&lt;0.2,"Low",
IF(M430&lt;0.4,"Medium","High"))</f>
        <v>High</v>
      </c>
      <c r="Y430" s="1" t="str">
        <f>IF(P430&lt;100,"Low",
IF(P430&lt;300,"Medium","High"))</f>
        <v>Low</v>
      </c>
    </row>
    <row r="431" spans="1:25" x14ac:dyDescent="0.3">
      <c r="A431">
        <v>430</v>
      </c>
      <c r="B431" s="2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 t="str">
        <f>VLOOKUP(MasterData[[#This Row],[season]],[1]Lookup!$A$2:$B$5,2,FALSE)</f>
        <v>Spring</v>
      </c>
      <c r="R431" t="str">
        <f>TEXT(DATE(2026,E431,1),"mmmm")</f>
        <v>January</v>
      </c>
      <c r="S431" t="str">
        <f>IF(OR(H431=0,H431=6),"Weekend","Weekday")</f>
        <v>Weekday</v>
      </c>
      <c r="T431" s="1" t="str">
        <f>VLOOKUP(I431,[1]Lookup!$D$2:$E$5,2,FALSE)</f>
        <v>Clear</v>
      </c>
      <c r="U431" s="1" t="str">
        <f>IF(F431&lt;6,"Night",
IF(F431&lt;12,"Morning",
IF(F431&lt;17,"Afternoon",
IF(F431&lt;21,"Evening","Night"))))</f>
        <v>Night</v>
      </c>
      <c r="V431" s="1" t="str">
        <f>IF(J431&lt;0.3,"Cold",
IF(J431&lt;0.6,"Pleasant","Hot"))</f>
        <v>Pleasant</v>
      </c>
      <c r="W431" s="1" t="str">
        <f>IF(L431&lt;0.4,"Low",
IF(L431&lt;0.7,"Medium","High"))</f>
        <v>Medium</v>
      </c>
      <c r="X431" s="1" t="str">
        <f>IF(M431&lt;0.2,"Low",
IF(M431&lt;0.4,"Medium","High"))</f>
        <v>Low</v>
      </c>
      <c r="Y431" s="1" t="str">
        <f>IF(P431&lt;100,"Low",
IF(P431&lt;300,"Medium","High"))</f>
        <v>Low</v>
      </c>
    </row>
    <row r="432" spans="1:25" x14ac:dyDescent="0.3">
      <c r="A432">
        <v>431</v>
      </c>
      <c r="B432" s="2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  <c r="Q432" t="str">
        <f>VLOOKUP(MasterData[[#This Row],[season]],[1]Lookup!$A$2:$B$5,2,FALSE)</f>
        <v>Spring</v>
      </c>
      <c r="R432" t="str">
        <f>TEXT(DATE(2026,E432,1),"mmmm")</f>
        <v>January</v>
      </c>
      <c r="S432" t="str">
        <f>IF(OR(H432=0,H432=6),"Weekend","Weekday")</f>
        <v>Weekday</v>
      </c>
      <c r="T432" s="1" t="str">
        <f>VLOOKUP(I432,[1]Lookup!$D$2:$E$5,2,FALSE)</f>
        <v>Clear</v>
      </c>
      <c r="U432" s="1" t="str">
        <f>IF(F432&lt;6,"Night",
IF(F432&lt;12,"Morning",
IF(F432&lt;17,"Afternoon",
IF(F432&lt;21,"Evening","Night"))))</f>
        <v>Night</v>
      </c>
      <c r="V432" s="1" t="str">
        <f>IF(J432&lt;0.3,"Cold",
IF(J432&lt;0.6,"Pleasant","Hot"))</f>
        <v>Pleasant</v>
      </c>
      <c r="W432" s="1" t="str">
        <f>IF(L432&lt;0.4,"Low",
IF(L432&lt;0.7,"Medium","High"))</f>
        <v>Medium</v>
      </c>
      <c r="X432" s="1" t="str">
        <f>IF(M432&lt;0.2,"Low",
IF(M432&lt;0.4,"Medium","High"))</f>
        <v>High</v>
      </c>
      <c r="Y432" s="1" t="str">
        <f>IF(P432&lt;100,"Low",
IF(P432&lt;300,"Medium","High"))</f>
        <v>Low</v>
      </c>
    </row>
    <row r="433" spans="1:25" x14ac:dyDescent="0.3">
      <c r="A433">
        <v>432</v>
      </c>
      <c r="B433" s="2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 t="str">
        <f>VLOOKUP(MasterData[[#This Row],[season]],[1]Lookup!$A$2:$B$5,2,FALSE)</f>
        <v>Spring</v>
      </c>
      <c r="R433" t="str">
        <f>TEXT(DATE(2026,E433,1),"mmmm")</f>
        <v>January</v>
      </c>
      <c r="S433" t="str">
        <f>IF(OR(H433=0,H433=6),"Weekend","Weekday")</f>
        <v>Weekday</v>
      </c>
      <c r="T433" s="1" t="str">
        <f>VLOOKUP(I433,[1]Lookup!$D$2:$E$5,2,FALSE)</f>
        <v>Clear</v>
      </c>
      <c r="U433" s="1" t="str">
        <f>IF(F433&lt;6,"Night",
IF(F433&lt;12,"Morning",
IF(F433&lt;17,"Afternoon",
IF(F433&lt;21,"Evening","Night"))))</f>
        <v>Night</v>
      </c>
      <c r="V433" s="1" t="str">
        <f>IF(J433&lt;0.3,"Cold",
IF(J433&lt;0.6,"Pleasant","Hot"))</f>
        <v>Cold</v>
      </c>
      <c r="W433" s="1" t="str">
        <f>IF(L433&lt;0.4,"Low",
IF(L433&lt;0.7,"Medium","High"))</f>
        <v>Medium</v>
      </c>
      <c r="X433" s="1" t="str">
        <f>IF(M433&lt;0.2,"Low",
IF(M433&lt;0.4,"Medium","High"))</f>
        <v>Medium</v>
      </c>
      <c r="Y433" s="1" t="str">
        <f>IF(P433&lt;100,"Low",
IF(P433&lt;300,"Medium","High"))</f>
        <v>Low</v>
      </c>
    </row>
    <row r="434" spans="1:25" x14ac:dyDescent="0.3">
      <c r="A434">
        <v>433</v>
      </c>
      <c r="B434" s="2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 t="str">
        <f>VLOOKUP(MasterData[[#This Row],[season]],[1]Lookup!$A$2:$B$5,2,FALSE)</f>
        <v>Spring</v>
      </c>
      <c r="R434" t="str">
        <f>TEXT(DATE(2026,E434,1),"mmmm")</f>
        <v>January</v>
      </c>
      <c r="S434" t="str">
        <f>IF(OR(H434=0,H434=6),"Weekend","Weekday")</f>
        <v>Weekday</v>
      </c>
      <c r="T434" s="1" t="str">
        <f>VLOOKUP(I434,[1]Lookup!$D$2:$E$5,2,FALSE)</f>
        <v>Clear</v>
      </c>
      <c r="U434" s="1" t="str">
        <f>IF(F434&lt;6,"Night",
IF(F434&lt;12,"Morning",
IF(F434&lt;17,"Afternoon",
IF(F434&lt;21,"Evening","Night"))))</f>
        <v>Night</v>
      </c>
      <c r="V434" s="1" t="str">
        <f>IF(J434&lt;0.3,"Cold",
IF(J434&lt;0.6,"Pleasant","Hot"))</f>
        <v>Cold</v>
      </c>
      <c r="W434" s="1" t="str">
        <f>IF(L434&lt;0.4,"Low",
IF(L434&lt;0.7,"Medium","High"))</f>
        <v>Medium</v>
      </c>
      <c r="X434" s="1" t="str">
        <f>IF(M434&lt;0.2,"Low",
IF(M434&lt;0.4,"Medium","High"))</f>
        <v>Low</v>
      </c>
      <c r="Y434" s="1" t="str">
        <f>IF(P434&lt;100,"Low",
IF(P434&lt;300,"Medium","High"))</f>
        <v>Low</v>
      </c>
    </row>
    <row r="435" spans="1:25" x14ac:dyDescent="0.3">
      <c r="A435">
        <v>434</v>
      </c>
      <c r="B435" s="2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 t="str">
        <f>VLOOKUP(MasterData[[#This Row],[season]],[1]Lookup!$A$2:$B$5,2,FALSE)</f>
        <v>Spring</v>
      </c>
      <c r="R435" t="str">
        <f>TEXT(DATE(2026,E435,1),"mmmm")</f>
        <v>January</v>
      </c>
      <c r="S435" t="str">
        <f>IF(OR(H435=0,H435=6),"Weekend","Weekday")</f>
        <v>Weekday</v>
      </c>
      <c r="T435" s="1" t="str">
        <f>VLOOKUP(I435,[1]Lookup!$D$2:$E$5,2,FALSE)</f>
        <v>Clear</v>
      </c>
      <c r="U435" s="1" t="str">
        <f>IF(F435&lt;6,"Night",
IF(F435&lt;12,"Morning",
IF(F435&lt;17,"Afternoon",
IF(F435&lt;21,"Evening","Night"))))</f>
        <v>Night</v>
      </c>
      <c r="V435" s="1" t="str">
        <f>IF(J435&lt;0.3,"Cold",
IF(J435&lt;0.6,"Pleasant","Hot"))</f>
        <v>Cold</v>
      </c>
      <c r="W435" s="1" t="str">
        <f>IF(L435&lt;0.4,"Low",
IF(L435&lt;0.7,"Medium","High"))</f>
        <v>Medium</v>
      </c>
      <c r="X435" s="1" t="str">
        <f>IF(M435&lt;0.2,"Low",
IF(M435&lt;0.4,"Medium","High"))</f>
        <v>Low</v>
      </c>
      <c r="Y435" s="1" t="str">
        <f>IF(P435&lt;100,"Low",
IF(P435&lt;300,"Medium","High"))</f>
        <v>Low</v>
      </c>
    </row>
    <row r="436" spans="1:25" x14ac:dyDescent="0.3">
      <c r="A436">
        <v>435</v>
      </c>
      <c r="B436" s="2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 t="str">
        <f>VLOOKUP(MasterData[[#This Row],[season]],[1]Lookup!$A$2:$B$5,2,FALSE)</f>
        <v>Spring</v>
      </c>
      <c r="R436" t="str">
        <f>TEXT(DATE(2026,E436,1),"mmmm")</f>
        <v>January</v>
      </c>
      <c r="S436" t="str">
        <f>IF(OR(H436=0,H436=6),"Weekend","Weekday")</f>
        <v>Weekday</v>
      </c>
      <c r="T436" s="1" t="str">
        <f>VLOOKUP(I436,[1]Lookup!$D$2:$E$5,2,FALSE)</f>
        <v>Clear</v>
      </c>
      <c r="U436" s="1" t="str">
        <f>IF(F436&lt;6,"Night",
IF(F436&lt;12,"Morning",
IF(F436&lt;17,"Afternoon",
IF(F436&lt;21,"Evening","Night"))))</f>
        <v>Night</v>
      </c>
      <c r="V436" s="1" t="str">
        <f>IF(J436&lt;0.3,"Cold",
IF(J436&lt;0.6,"Pleasant","Hot"))</f>
        <v>Cold</v>
      </c>
      <c r="W436" s="1" t="str">
        <f>IF(L436&lt;0.4,"Low",
IF(L436&lt;0.7,"Medium","High"))</f>
        <v>Medium</v>
      </c>
      <c r="X436" s="1" t="str">
        <f>IF(M436&lt;0.2,"Low",
IF(M436&lt;0.4,"Medium","High"))</f>
        <v>Low</v>
      </c>
      <c r="Y436" s="1" t="str">
        <f>IF(P436&lt;100,"Low",
IF(P436&lt;300,"Medium","High"))</f>
        <v>Low</v>
      </c>
    </row>
    <row r="437" spans="1:25" x14ac:dyDescent="0.3">
      <c r="A437">
        <v>436</v>
      </c>
      <c r="B437" s="2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 t="str">
        <f>VLOOKUP(MasterData[[#This Row],[season]],[1]Lookup!$A$2:$B$5,2,FALSE)</f>
        <v>Spring</v>
      </c>
      <c r="R437" t="str">
        <f>TEXT(DATE(2026,E437,1),"mmmm")</f>
        <v>January</v>
      </c>
      <c r="S437" t="str">
        <f>IF(OR(H437=0,H437=6),"Weekend","Weekday")</f>
        <v>Weekday</v>
      </c>
      <c r="T437" s="1" t="str">
        <f>VLOOKUP(I437,[1]Lookup!$D$2:$E$5,2,FALSE)</f>
        <v>Clear</v>
      </c>
      <c r="U437" s="1" t="str">
        <f>IF(F437&lt;6,"Night",
IF(F437&lt;12,"Morning",
IF(F437&lt;17,"Afternoon",
IF(F437&lt;21,"Evening","Night"))))</f>
        <v>Night</v>
      </c>
      <c r="V437" s="1" t="str">
        <f>IF(J437&lt;0.3,"Cold",
IF(J437&lt;0.6,"Pleasant","Hot"))</f>
        <v>Cold</v>
      </c>
      <c r="W437" s="1" t="str">
        <f>IF(L437&lt;0.4,"Low",
IF(L437&lt;0.7,"Medium","High"))</f>
        <v>Medium</v>
      </c>
      <c r="X437" s="1" t="str">
        <f>IF(M437&lt;0.2,"Low",
IF(M437&lt;0.4,"Medium","High"))</f>
        <v>Low</v>
      </c>
      <c r="Y437" s="1" t="str">
        <f>IF(P437&lt;100,"Low",
IF(P437&lt;300,"Medium","High"))</f>
        <v>Low</v>
      </c>
    </row>
    <row r="438" spans="1:25" x14ac:dyDescent="0.3">
      <c r="A438">
        <v>437</v>
      </c>
      <c r="B438" s="2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 t="str">
        <f>VLOOKUP(MasterData[[#This Row],[season]],[1]Lookup!$A$2:$B$5,2,FALSE)</f>
        <v>Spring</v>
      </c>
      <c r="R438" t="str">
        <f>TEXT(DATE(2026,E438,1),"mmmm")</f>
        <v>January</v>
      </c>
      <c r="S438" t="str">
        <f>IF(OR(H438=0,H438=6),"Weekend","Weekday")</f>
        <v>Weekday</v>
      </c>
      <c r="T438" s="1" t="str">
        <f>VLOOKUP(I438,[1]Lookup!$D$2:$E$5,2,FALSE)</f>
        <v>Clear</v>
      </c>
      <c r="U438" s="1" t="str">
        <f>IF(F438&lt;6,"Night",
IF(F438&lt;12,"Morning",
IF(F438&lt;17,"Afternoon",
IF(F438&lt;21,"Evening","Night"))))</f>
        <v>Night</v>
      </c>
      <c r="V438" s="1" t="str">
        <f>IF(J438&lt;0.3,"Cold",
IF(J438&lt;0.6,"Pleasant","Hot"))</f>
        <v>Cold</v>
      </c>
      <c r="W438" s="1" t="str">
        <f>IF(L438&lt;0.4,"Low",
IF(L438&lt;0.7,"Medium","High"))</f>
        <v>Medium</v>
      </c>
      <c r="X438" s="1" t="str">
        <f>IF(M438&lt;0.2,"Low",
IF(M438&lt;0.4,"Medium","High"))</f>
        <v>Medium</v>
      </c>
      <c r="Y438" s="1" t="str">
        <f>IF(P438&lt;100,"Low",
IF(P438&lt;300,"Medium","High"))</f>
        <v>Low</v>
      </c>
    </row>
    <row r="439" spans="1:25" x14ac:dyDescent="0.3">
      <c r="A439">
        <v>438</v>
      </c>
      <c r="B439" s="2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 t="str">
        <f>VLOOKUP(MasterData[[#This Row],[season]],[1]Lookup!$A$2:$B$5,2,FALSE)</f>
        <v>Spring</v>
      </c>
      <c r="R439" t="str">
        <f>TEXT(DATE(2026,E439,1),"mmmm")</f>
        <v>January</v>
      </c>
      <c r="S439" t="str">
        <f>IF(OR(H439=0,H439=6),"Weekend","Weekday")</f>
        <v>Weekday</v>
      </c>
      <c r="T439" s="1" t="str">
        <f>VLOOKUP(I439,[1]Lookup!$D$2:$E$5,2,FALSE)</f>
        <v>Clear</v>
      </c>
      <c r="U439" s="1" t="str">
        <f>IF(F439&lt;6,"Night",
IF(F439&lt;12,"Morning",
IF(F439&lt;17,"Afternoon",
IF(F439&lt;21,"Evening","Night"))))</f>
        <v>Morning</v>
      </c>
      <c r="V439" s="1" t="str">
        <f>IF(J439&lt;0.3,"Cold",
IF(J439&lt;0.6,"Pleasant","Hot"))</f>
        <v>Cold</v>
      </c>
      <c r="W439" s="1" t="str">
        <f>IF(L439&lt;0.4,"Low",
IF(L439&lt;0.7,"Medium","High"))</f>
        <v>Medium</v>
      </c>
      <c r="X439" s="1" t="str">
        <f>IF(M439&lt;0.2,"Low",
IF(M439&lt;0.4,"Medium","High"))</f>
        <v>Medium</v>
      </c>
      <c r="Y439" s="1" t="str">
        <f>IF(P439&lt;100,"Low",
IF(P439&lt;300,"Medium","High"))</f>
        <v>Low</v>
      </c>
    </row>
    <row r="440" spans="1:25" x14ac:dyDescent="0.3">
      <c r="A440">
        <v>439</v>
      </c>
      <c r="B440" s="2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 t="str">
        <f>VLOOKUP(MasterData[[#This Row],[season]],[1]Lookup!$A$2:$B$5,2,FALSE)</f>
        <v>Spring</v>
      </c>
      <c r="R440" t="str">
        <f>TEXT(DATE(2026,E440,1),"mmmm")</f>
        <v>January</v>
      </c>
      <c r="S440" t="str">
        <f>IF(OR(H440=0,H440=6),"Weekend","Weekday")</f>
        <v>Weekday</v>
      </c>
      <c r="T440" s="1" t="str">
        <f>VLOOKUP(I440,[1]Lookup!$D$2:$E$5,2,FALSE)</f>
        <v>Clear</v>
      </c>
      <c r="U440" s="1" t="str">
        <f>IF(F440&lt;6,"Night",
IF(F440&lt;12,"Morning",
IF(F440&lt;17,"Afternoon",
IF(F440&lt;21,"Evening","Night"))))</f>
        <v>Morning</v>
      </c>
      <c r="V440" s="1" t="str">
        <f>IF(J440&lt;0.3,"Cold",
IF(J440&lt;0.6,"Pleasant","Hot"))</f>
        <v>Cold</v>
      </c>
      <c r="W440" s="1" t="str">
        <f>IF(L440&lt;0.4,"Low",
IF(L440&lt;0.7,"Medium","High"))</f>
        <v>Medium</v>
      </c>
      <c r="X440" s="1" t="str">
        <f>IF(M440&lt;0.2,"Low",
IF(M440&lt;0.4,"Medium","High"))</f>
        <v>Medium</v>
      </c>
      <c r="Y440" s="1" t="str">
        <f>IF(P440&lt;100,"Low",
IF(P440&lt;300,"Medium","High"))</f>
        <v>Medium</v>
      </c>
    </row>
    <row r="441" spans="1:25" x14ac:dyDescent="0.3">
      <c r="A441">
        <v>440</v>
      </c>
      <c r="B441" s="2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 t="str">
        <f>VLOOKUP(MasterData[[#This Row],[season]],[1]Lookup!$A$2:$B$5,2,FALSE)</f>
        <v>Spring</v>
      </c>
      <c r="R441" t="str">
        <f>TEXT(DATE(2026,E441,1),"mmmm")</f>
        <v>January</v>
      </c>
      <c r="S441" t="str">
        <f>IF(OR(H441=0,H441=6),"Weekend","Weekday")</f>
        <v>Weekday</v>
      </c>
      <c r="T441" s="1" t="str">
        <f>VLOOKUP(I441,[1]Lookup!$D$2:$E$5,2,FALSE)</f>
        <v>Clear</v>
      </c>
      <c r="U441" s="1" t="str">
        <f>IF(F441&lt;6,"Night",
IF(F441&lt;12,"Morning",
IF(F441&lt;17,"Afternoon",
IF(F441&lt;21,"Evening","Night"))))</f>
        <v>Morning</v>
      </c>
      <c r="V441" s="1" t="str">
        <f>IF(J441&lt;0.3,"Cold",
IF(J441&lt;0.6,"Pleasant","Hot"))</f>
        <v>Cold</v>
      </c>
      <c r="W441" s="1" t="str">
        <f>IF(L441&lt;0.4,"Low",
IF(L441&lt;0.7,"Medium","High"))</f>
        <v>Medium</v>
      </c>
      <c r="X441" s="1" t="str">
        <f>IF(M441&lt;0.2,"Low",
IF(M441&lt;0.4,"Medium","High"))</f>
        <v>Medium</v>
      </c>
      <c r="Y441" s="1" t="str">
        <f>IF(P441&lt;100,"Low",
IF(P441&lt;300,"Medium","High"))</f>
        <v>Medium</v>
      </c>
    </row>
    <row r="442" spans="1:25" x14ac:dyDescent="0.3">
      <c r="A442">
        <v>441</v>
      </c>
      <c r="B442" s="2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 t="str">
        <f>VLOOKUP(MasterData[[#This Row],[season]],[1]Lookup!$A$2:$B$5,2,FALSE)</f>
        <v>Spring</v>
      </c>
      <c r="R442" t="str">
        <f>TEXT(DATE(2026,E442,1),"mmmm")</f>
        <v>January</v>
      </c>
      <c r="S442" t="str">
        <f>IF(OR(H442=0,H442=6),"Weekend","Weekday")</f>
        <v>Weekday</v>
      </c>
      <c r="T442" s="1" t="str">
        <f>VLOOKUP(I442,[1]Lookup!$D$2:$E$5,2,FALSE)</f>
        <v>Mist / Cloudy</v>
      </c>
      <c r="U442" s="1" t="str">
        <f>IF(F442&lt;6,"Night",
IF(F442&lt;12,"Morning",
IF(F442&lt;17,"Afternoon",
IF(F442&lt;21,"Evening","Night"))))</f>
        <v>Morning</v>
      </c>
      <c r="V442" s="1" t="str">
        <f>IF(J442&lt;0.3,"Cold",
IF(J442&lt;0.6,"Pleasant","Hot"))</f>
        <v>Cold</v>
      </c>
      <c r="W442" s="1" t="str">
        <f>IF(L442&lt;0.4,"Low",
IF(L442&lt;0.7,"Medium","High"))</f>
        <v>Medium</v>
      </c>
      <c r="X442" s="1" t="str">
        <f>IF(M442&lt;0.2,"Low",
IF(M442&lt;0.4,"Medium","High"))</f>
        <v>Medium</v>
      </c>
      <c r="Y442" s="1" t="str">
        <f>IF(P442&lt;100,"Low",
IF(P442&lt;300,"Medium","High"))</f>
        <v>Medium</v>
      </c>
    </row>
    <row r="443" spans="1:25" x14ac:dyDescent="0.3">
      <c r="A443">
        <v>442</v>
      </c>
      <c r="B443" s="2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 t="str">
        <f>VLOOKUP(MasterData[[#This Row],[season]],[1]Lookup!$A$2:$B$5,2,FALSE)</f>
        <v>Spring</v>
      </c>
      <c r="R443" t="str">
        <f>TEXT(DATE(2026,E443,1),"mmmm")</f>
        <v>January</v>
      </c>
      <c r="S443" t="str">
        <f>IF(OR(H443=0,H443=6),"Weekend","Weekday")</f>
        <v>Weekday</v>
      </c>
      <c r="T443" s="1" t="str">
        <f>VLOOKUP(I443,[1]Lookup!$D$2:$E$5,2,FALSE)</f>
        <v>Clear</v>
      </c>
      <c r="U443" s="1" t="str">
        <f>IF(F443&lt;6,"Night",
IF(F443&lt;12,"Morning",
IF(F443&lt;17,"Afternoon",
IF(F443&lt;21,"Evening","Night"))))</f>
        <v>Morning</v>
      </c>
      <c r="V443" s="1" t="str">
        <f>IF(J443&lt;0.3,"Cold",
IF(J443&lt;0.6,"Pleasant","Hot"))</f>
        <v>Cold</v>
      </c>
      <c r="W443" s="1" t="str">
        <f>IF(L443&lt;0.4,"Low",
IF(L443&lt;0.7,"Medium","High"))</f>
        <v>Medium</v>
      </c>
      <c r="X443" s="1" t="str">
        <f>IF(M443&lt;0.2,"Low",
IF(M443&lt;0.4,"Medium","High"))</f>
        <v>Medium</v>
      </c>
      <c r="Y443" s="1" t="str">
        <f>IF(P443&lt;100,"Low",
IF(P443&lt;300,"Medium","High"))</f>
        <v>Low</v>
      </c>
    </row>
    <row r="444" spans="1:25" x14ac:dyDescent="0.3">
      <c r="A444">
        <v>443</v>
      </c>
      <c r="B444" s="2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 t="str">
        <f>VLOOKUP(MasterData[[#This Row],[season]],[1]Lookup!$A$2:$B$5,2,FALSE)</f>
        <v>Spring</v>
      </c>
      <c r="R444" t="str">
        <f>TEXT(DATE(2026,E444,1),"mmmm")</f>
        <v>January</v>
      </c>
      <c r="S444" t="str">
        <f>IF(OR(H444=0,H444=6),"Weekend","Weekday")</f>
        <v>Weekday</v>
      </c>
      <c r="T444" s="1" t="str">
        <f>VLOOKUP(I444,[1]Lookup!$D$2:$E$5,2,FALSE)</f>
        <v>Mist / Cloudy</v>
      </c>
      <c r="U444" s="1" t="str">
        <f>IF(F444&lt;6,"Night",
IF(F444&lt;12,"Morning",
IF(F444&lt;17,"Afternoon",
IF(F444&lt;21,"Evening","Night"))))</f>
        <v>Morning</v>
      </c>
      <c r="V444" s="1" t="str">
        <f>IF(J444&lt;0.3,"Cold",
IF(J444&lt;0.6,"Pleasant","Hot"))</f>
        <v>Cold</v>
      </c>
      <c r="W444" s="1" t="str">
        <f>IF(L444&lt;0.4,"Low",
IF(L444&lt;0.7,"Medium","High"))</f>
        <v>Medium</v>
      </c>
      <c r="X444" s="1" t="str">
        <f>IF(M444&lt;0.2,"Low",
IF(M444&lt;0.4,"Medium","High"))</f>
        <v>Low</v>
      </c>
      <c r="Y444" s="1" t="str">
        <f>IF(P444&lt;100,"Low",
IF(P444&lt;300,"Medium","High"))</f>
        <v>Low</v>
      </c>
    </row>
    <row r="445" spans="1:25" x14ac:dyDescent="0.3">
      <c r="A445">
        <v>444</v>
      </c>
      <c r="B445" s="2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 t="str">
        <f>VLOOKUP(MasterData[[#This Row],[season]],[1]Lookup!$A$2:$B$5,2,FALSE)</f>
        <v>Spring</v>
      </c>
      <c r="R445" t="str">
        <f>TEXT(DATE(2026,E445,1),"mmmm")</f>
        <v>January</v>
      </c>
      <c r="S445" t="str">
        <f>IF(OR(H445=0,H445=6),"Weekend","Weekday")</f>
        <v>Weekday</v>
      </c>
      <c r="T445" s="1" t="str">
        <f>VLOOKUP(I445,[1]Lookup!$D$2:$E$5,2,FALSE)</f>
        <v>Mist / Cloudy</v>
      </c>
      <c r="U445" s="1" t="str">
        <f>IF(F445&lt;6,"Night",
IF(F445&lt;12,"Morning",
IF(F445&lt;17,"Afternoon",
IF(F445&lt;21,"Evening","Night"))))</f>
        <v>Afternoon</v>
      </c>
      <c r="V445" s="1" t="str">
        <f>IF(J445&lt;0.3,"Cold",
IF(J445&lt;0.6,"Pleasant","Hot"))</f>
        <v>Pleasant</v>
      </c>
      <c r="W445" s="1" t="str">
        <f>IF(L445&lt;0.4,"Low",
IF(L445&lt;0.7,"Medium","High"))</f>
        <v>Medium</v>
      </c>
      <c r="X445" s="1" t="str">
        <f>IF(M445&lt;0.2,"Low",
IF(M445&lt;0.4,"Medium","High"))</f>
        <v>Low</v>
      </c>
      <c r="Y445" s="1" t="str">
        <f>IF(P445&lt;100,"Low",
IF(P445&lt;300,"Medium","High"))</f>
        <v>Low</v>
      </c>
    </row>
    <row r="446" spans="1:25" x14ac:dyDescent="0.3">
      <c r="A446">
        <v>445</v>
      </c>
      <c r="B446" s="2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 t="str">
        <f>VLOOKUP(MasterData[[#This Row],[season]],[1]Lookup!$A$2:$B$5,2,FALSE)</f>
        <v>Spring</v>
      </c>
      <c r="R446" t="str">
        <f>TEXT(DATE(2026,E446,1),"mmmm")</f>
        <v>January</v>
      </c>
      <c r="S446" t="str">
        <f>IF(OR(H446=0,H446=6),"Weekend","Weekday")</f>
        <v>Weekday</v>
      </c>
      <c r="T446" s="1" t="str">
        <f>VLOOKUP(I446,[1]Lookup!$D$2:$E$5,2,FALSE)</f>
        <v>Mist / Cloudy</v>
      </c>
      <c r="U446" s="1" t="str">
        <f>IF(F446&lt;6,"Night",
IF(F446&lt;12,"Morning",
IF(F446&lt;17,"Afternoon",
IF(F446&lt;21,"Evening","Night"))))</f>
        <v>Afternoon</v>
      </c>
      <c r="V446" s="1" t="str">
        <f>IF(J446&lt;0.3,"Cold",
IF(J446&lt;0.6,"Pleasant","Hot"))</f>
        <v>Cold</v>
      </c>
      <c r="W446" s="1" t="str">
        <f>IF(L446&lt;0.4,"Low",
IF(L446&lt;0.7,"Medium","High"))</f>
        <v>Medium</v>
      </c>
      <c r="X446" s="1" t="str">
        <f>IF(M446&lt;0.2,"Low",
IF(M446&lt;0.4,"Medium","High"))</f>
        <v>Low</v>
      </c>
      <c r="Y446" s="1" t="str">
        <f>IF(P446&lt;100,"Low",
IF(P446&lt;300,"Medium","High"))</f>
        <v>Low</v>
      </c>
    </row>
    <row r="447" spans="1:25" x14ac:dyDescent="0.3">
      <c r="A447">
        <v>446</v>
      </c>
      <c r="B447" s="2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  <c r="Q447" t="str">
        <f>VLOOKUP(MasterData[[#This Row],[season]],[1]Lookup!$A$2:$B$5,2,FALSE)</f>
        <v>Spring</v>
      </c>
      <c r="R447" t="str">
        <f>TEXT(DATE(2026,E447,1),"mmmm")</f>
        <v>January</v>
      </c>
      <c r="S447" t="str">
        <f>IF(OR(H447=0,H447=6),"Weekend","Weekday")</f>
        <v>Weekday</v>
      </c>
      <c r="T447" s="1" t="str">
        <f>VLOOKUP(I447,[1]Lookup!$D$2:$E$5,2,FALSE)</f>
        <v>Mist / Cloudy</v>
      </c>
      <c r="U447" s="1" t="str">
        <f>IF(F447&lt;6,"Night",
IF(F447&lt;12,"Morning",
IF(F447&lt;17,"Afternoon",
IF(F447&lt;21,"Evening","Night"))))</f>
        <v>Afternoon</v>
      </c>
      <c r="V447" s="1" t="str">
        <f>IF(J447&lt;0.3,"Cold",
IF(J447&lt;0.6,"Pleasant","Hot"))</f>
        <v>Pleasant</v>
      </c>
      <c r="W447" s="1" t="str">
        <f>IF(L447&lt;0.4,"Low",
IF(L447&lt;0.7,"Medium","High"))</f>
        <v>Medium</v>
      </c>
      <c r="X447" s="1" t="str">
        <f>IF(M447&lt;0.2,"Low",
IF(M447&lt;0.4,"Medium","High"))</f>
        <v>Low</v>
      </c>
      <c r="Y447" s="1" t="str">
        <f>IF(P447&lt;100,"Low",
IF(P447&lt;300,"Medium","High"))</f>
        <v>Low</v>
      </c>
    </row>
    <row r="448" spans="1:25" x14ac:dyDescent="0.3">
      <c r="A448">
        <v>447</v>
      </c>
      <c r="B448" s="2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 t="str">
        <f>VLOOKUP(MasterData[[#This Row],[season]],[1]Lookup!$A$2:$B$5,2,FALSE)</f>
        <v>Spring</v>
      </c>
      <c r="R448" t="str">
        <f>TEXT(DATE(2026,E448,1),"mmmm")</f>
        <v>January</v>
      </c>
      <c r="S448" t="str">
        <f>IF(OR(H448=0,H448=6),"Weekend","Weekday")</f>
        <v>Weekday</v>
      </c>
      <c r="T448" s="1" t="str">
        <f>VLOOKUP(I448,[1]Lookup!$D$2:$E$5,2,FALSE)</f>
        <v>Mist / Cloudy</v>
      </c>
      <c r="U448" s="1" t="str">
        <f>IF(F448&lt;6,"Night",
IF(F448&lt;12,"Morning",
IF(F448&lt;17,"Afternoon",
IF(F448&lt;21,"Evening","Night"))))</f>
        <v>Afternoon</v>
      </c>
      <c r="V448" s="1" t="str">
        <f>IF(J448&lt;0.3,"Cold",
IF(J448&lt;0.6,"Pleasant","Hot"))</f>
        <v>Pleasant</v>
      </c>
      <c r="W448" s="1" t="str">
        <f>IF(L448&lt;0.4,"Low",
IF(L448&lt;0.7,"Medium","High"))</f>
        <v>Medium</v>
      </c>
      <c r="X448" s="1" t="str">
        <f>IF(M448&lt;0.2,"Low",
IF(M448&lt;0.4,"Medium","High"))</f>
        <v>Low</v>
      </c>
      <c r="Y448" s="1" t="str">
        <f>IF(P448&lt;100,"Low",
IF(P448&lt;300,"Medium","High"))</f>
        <v>Low</v>
      </c>
    </row>
    <row r="449" spans="1:25" x14ac:dyDescent="0.3">
      <c r="A449">
        <v>448</v>
      </c>
      <c r="B449" s="2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  <c r="Q449" t="str">
        <f>VLOOKUP(MasterData[[#This Row],[season]],[1]Lookup!$A$2:$B$5,2,FALSE)</f>
        <v>Spring</v>
      </c>
      <c r="R449" t="str">
        <f>TEXT(DATE(2026,E449,1),"mmmm")</f>
        <v>January</v>
      </c>
      <c r="S449" t="str">
        <f>IF(OR(H449=0,H449=6),"Weekend","Weekday")</f>
        <v>Weekday</v>
      </c>
      <c r="T449" s="1" t="str">
        <f>VLOOKUP(I449,[1]Lookup!$D$2:$E$5,2,FALSE)</f>
        <v>Mist / Cloudy</v>
      </c>
      <c r="U449" s="1" t="str">
        <f>IF(F449&lt;6,"Night",
IF(F449&lt;12,"Morning",
IF(F449&lt;17,"Afternoon",
IF(F449&lt;21,"Evening","Night"))))</f>
        <v>Afternoon</v>
      </c>
      <c r="V449" s="1" t="str">
        <f>IF(J449&lt;0.3,"Cold",
IF(J449&lt;0.6,"Pleasant","Hot"))</f>
        <v>Pleasant</v>
      </c>
      <c r="W449" s="1" t="str">
        <f>IF(L449&lt;0.4,"Low",
IF(L449&lt;0.7,"Medium","High"))</f>
        <v>Medium</v>
      </c>
      <c r="X449" s="1" t="str">
        <f>IF(M449&lt;0.2,"Low",
IF(M449&lt;0.4,"Medium","High"))</f>
        <v>Low</v>
      </c>
      <c r="Y449" s="1" t="str">
        <f>IF(P449&lt;100,"Low",
IF(P449&lt;300,"Medium","High"))</f>
        <v>Low</v>
      </c>
    </row>
    <row r="450" spans="1:25" x14ac:dyDescent="0.3">
      <c r="A450">
        <v>449</v>
      </c>
      <c r="B450" s="2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 t="str">
        <f>VLOOKUP(MasterData[[#This Row],[season]],[1]Lookup!$A$2:$B$5,2,FALSE)</f>
        <v>Spring</v>
      </c>
      <c r="R450" t="str">
        <f>TEXT(DATE(2026,E450,1),"mmmm")</f>
        <v>January</v>
      </c>
      <c r="S450" t="str">
        <f>IF(OR(H450=0,H450=6),"Weekend","Weekday")</f>
        <v>Weekday</v>
      </c>
      <c r="T450" s="1" t="str">
        <f>VLOOKUP(I450,[1]Lookup!$D$2:$E$5,2,FALSE)</f>
        <v>Mist / Cloudy</v>
      </c>
      <c r="U450" s="1" t="str">
        <f>IF(F450&lt;6,"Night",
IF(F450&lt;12,"Morning",
IF(F450&lt;17,"Afternoon",
IF(F450&lt;21,"Evening","Night"))))</f>
        <v>Evening</v>
      </c>
      <c r="V450" s="1" t="str">
        <f>IF(J450&lt;0.3,"Cold",
IF(J450&lt;0.6,"Pleasant","Hot"))</f>
        <v>Pleasant</v>
      </c>
      <c r="W450" s="1" t="str">
        <f>IF(L450&lt;0.4,"Low",
IF(L450&lt;0.7,"Medium","High"))</f>
        <v>Medium</v>
      </c>
      <c r="X450" s="1" t="str">
        <f>IF(M450&lt;0.2,"Low",
IF(M450&lt;0.4,"Medium","High"))</f>
        <v>Low</v>
      </c>
      <c r="Y450" s="1" t="str">
        <f>IF(P450&lt;100,"Low",
IF(P450&lt;300,"Medium","High"))</f>
        <v>Medium</v>
      </c>
    </row>
    <row r="451" spans="1:25" x14ac:dyDescent="0.3">
      <c r="A451">
        <v>450</v>
      </c>
      <c r="B451" s="2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 t="str">
        <f>VLOOKUP(MasterData[[#This Row],[season]],[1]Lookup!$A$2:$B$5,2,FALSE)</f>
        <v>Spring</v>
      </c>
      <c r="R451" t="str">
        <f>TEXT(DATE(2026,E451,1),"mmmm")</f>
        <v>January</v>
      </c>
      <c r="S451" t="str">
        <f>IF(OR(H451=0,H451=6),"Weekend","Weekday")</f>
        <v>Weekday</v>
      </c>
      <c r="T451" s="1" t="str">
        <f>VLOOKUP(I451,[1]Lookup!$D$2:$E$5,2,FALSE)</f>
        <v>Mist / Cloudy</v>
      </c>
      <c r="U451" s="1" t="str">
        <f>IF(F451&lt;6,"Night",
IF(F451&lt;12,"Morning",
IF(F451&lt;17,"Afternoon",
IF(F451&lt;21,"Evening","Night"))))</f>
        <v>Evening</v>
      </c>
      <c r="V451" s="1" t="str">
        <f>IF(J451&lt;0.3,"Cold",
IF(J451&lt;0.6,"Pleasant","Hot"))</f>
        <v>Cold</v>
      </c>
      <c r="W451" s="1" t="str">
        <f>IF(L451&lt;0.4,"Low",
IF(L451&lt;0.7,"Medium","High"))</f>
        <v>Medium</v>
      </c>
      <c r="X451" s="1" t="str">
        <f>IF(M451&lt;0.2,"Low",
IF(M451&lt;0.4,"Medium","High"))</f>
        <v>Low</v>
      </c>
      <c r="Y451" s="1" t="str">
        <f>IF(P451&lt;100,"Low",
IF(P451&lt;300,"Medium","High"))</f>
        <v>Medium</v>
      </c>
    </row>
    <row r="452" spans="1:25" x14ac:dyDescent="0.3">
      <c r="A452">
        <v>451</v>
      </c>
      <c r="B452" s="2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 t="str">
        <f>VLOOKUP(MasterData[[#This Row],[season]],[1]Lookup!$A$2:$B$5,2,FALSE)</f>
        <v>Spring</v>
      </c>
      <c r="R452" t="str">
        <f>TEXT(DATE(2026,E452,1),"mmmm")</f>
        <v>January</v>
      </c>
      <c r="S452" t="str">
        <f>IF(OR(H452=0,H452=6),"Weekend","Weekday")</f>
        <v>Weekday</v>
      </c>
      <c r="T452" s="1" t="str">
        <f>VLOOKUP(I452,[1]Lookup!$D$2:$E$5,2,FALSE)</f>
        <v>Clear</v>
      </c>
      <c r="U452" s="1" t="str">
        <f>IF(F452&lt;6,"Night",
IF(F452&lt;12,"Morning",
IF(F452&lt;17,"Afternoon",
IF(F452&lt;21,"Evening","Night"))))</f>
        <v>Evening</v>
      </c>
      <c r="V452" s="1" t="str">
        <f>IF(J452&lt;0.3,"Cold",
IF(J452&lt;0.6,"Pleasant","Hot"))</f>
        <v>Cold</v>
      </c>
      <c r="W452" s="1" t="str">
        <f>IF(L452&lt;0.4,"Low",
IF(L452&lt;0.7,"Medium","High"))</f>
        <v>Medium</v>
      </c>
      <c r="X452" s="1" t="str">
        <f>IF(M452&lt;0.2,"Low",
IF(M452&lt;0.4,"Medium","High"))</f>
        <v>Medium</v>
      </c>
      <c r="Y452" s="1" t="str">
        <f>IF(P452&lt;100,"Low",
IF(P452&lt;300,"Medium","High"))</f>
        <v>Medium</v>
      </c>
    </row>
    <row r="453" spans="1:25" x14ac:dyDescent="0.3">
      <c r="A453">
        <v>452</v>
      </c>
      <c r="B453" s="2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 t="str">
        <f>VLOOKUP(MasterData[[#This Row],[season]],[1]Lookup!$A$2:$B$5,2,FALSE)</f>
        <v>Spring</v>
      </c>
      <c r="R453" t="str">
        <f>TEXT(DATE(2026,E453,1),"mmmm")</f>
        <v>January</v>
      </c>
      <c r="S453" t="str">
        <f>IF(OR(H453=0,H453=6),"Weekend","Weekday")</f>
        <v>Weekday</v>
      </c>
      <c r="T453" s="1" t="str">
        <f>VLOOKUP(I453,[1]Lookup!$D$2:$E$5,2,FALSE)</f>
        <v>Mist / Cloudy</v>
      </c>
      <c r="U453" s="1" t="str">
        <f>IF(F453&lt;6,"Night",
IF(F453&lt;12,"Morning",
IF(F453&lt;17,"Afternoon",
IF(F453&lt;21,"Evening","Night"))))</f>
        <v>Evening</v>
      </c>
      <c r="V453" s="1" t="str">
        <f>IF(J453&lt;0.3,"Cold",
IF(J453&lt;0.6,"Pleasant","Hot"))</f>
        <v>Cold</v>
      </c>
      <c r="W453" s="1" t="str">
        <f>IF(L453&lt;0.4,"Low",
IF(L453&lt;0.7,"Medium","High"))</f>
        <v>Medium</v>
      </c>
      <c r="X453" s="1" t="str">
        <f>IF(M453&lt;0.2,"Low",
IF(M453&lt;0.4,"Medium","High"))</f>
        <v>Medium</v>
      </c>
      <c r="Y453" s="1" t="str">
        <f>IF(P453&lt;100,"Low",
IF(P453&lt;300,"Medium","High"))</f>
        <v>Medium</v>
      </c>
    </row>
    <row r="454" spans="1:25" x14ac:dyDescent="0.3">
      <c r="A454">
        <v>453</v>
      </c>
      <c r="B454" s="2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 t="str">
        <f>VLOOKUP(MasterData[[#This Row],[season]],[1]Lookup!$A$2:$B$5,2,FALSE)</f>
        <v>Spring</v>
      </c>
      <c r="R454" t="str">
        <f>TEXT(DATE(2026,E454,1),"mmmm")</f>
        <v>January</v>
      </c>
      <c r="S454" t="str">
        <f>IF(OR(H454=0,H454=6),"Weekend","Weekday")</f>
        <v>Weekday</v>
      </c>
      <c r="T454" s="1" t="str">
        <f>VLOOKUP(I454,[1]Lookup!$D$2:$E$5,2,FALSE)</f>
        <v>Mist / Cloudy</v>
      </c>
      <c r="U454" s="1" t="str">
        <f>IF(F454&lt;6,"Night",
IF(F454&lt;12,"Morning",
IF(F454&lt;17,"Afternoon",
IF(F454&lt;21,"Evening","Night"))))</f>
        <v>Night</v>
      </c>
      <c r="V454" s="1" t="str">
        <f>IF(J454&lt;0.3,"Cold",
IF(J454&lt;0.6,"Pleasant","Hot"))</f>
        <v>Cold</v>
      </c>
      <c r="W454" s="1" t="str">
        <f>IF(L454&lt;0.4,"Low",
IF(L454&lt;0.7,"Medium","High"))</f>
        <v>Medium</v>
      </c>
      <c r="X454" s="1" t="str">
        <f>IF(M454&lt;0.2,"Low",
IF(M454&lt;0.4,"Medium","High"))</f>
        <v>Medium</v>
      </c>
      <c r="Y454" s="1" t="str">
        <f>IF(P454&lt;100,"Low",
IF(P454&lt;300,"Medium","High"))</f>
        <v>Low</v>
      </c>
    </row>
    <row r="455" spans="1:25" x14ac:dyDescent="0.3">
      <c r="A455">
        <v>454</v>
      </c>
      <c r="B455" s="2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 t="str">
        <f>VLOOKUP(MasterData[[#This Row],[season]],[1]Lookup!$A$2:$B$5,2,FALSE)</f>
        <v>Spring</v>
      </c>
      <c r="R455" t="str">
        <f>TEXT(DATE(2026,E455,1),"mmmm")</f>
        <v>January</v>
      </c>
      <c r="S455" t="str">
        <f>IF(OR(H455=0,H455=6),"Weekend","Weekday")</f>
        <v>Weekday</v>
      </c>
      <c r="T455" s="1" t="str">
        <f>VLOOKUP(I455,[1]Lookup!$D$2:$E$5,2,FALSE)</f>
        <v>Mist / Cloudy</v>
      </c>
      <c r="U455" s="1" t="str">
        <f>IF(F455&lt;6,"Night",
IF(F455&lt;12,"Morning",
IF(F455&lt;17,"Afternoon",
IF(F455&lt;21,"Evening","Night"))))</f>
        <v>Night</v>
      </c>
      <c r="V455" s="1" t="str">
        <f>IF(J455&lt;0.3,"Cold",
IF(J455&lt;0.6,"Pleasant","Hot"))</f>
        <v>Cold</v>
      </c>
      <c r="W455" s="1" t="str">
        <f>IF(L455&lt;0.4,"Low",
IF(L455&lt;0.7,"Medium","High"))</f>
        <v>Medium</v>
      </c>
      <c r="X455" s="1" t="str">
        <f>IF(M455&lt;0.2,"Low",
IF(M455&lt;0.4,"Medium","High"))</f>
        <v>Medium</v>
      </c>
      <c r="Y455" s="1" t="str">
        <f>IF(P455&lt;100,"Low",
IF(P455&lt;300,"Medium","High"))</f>
        <v>Low</v>
      </c>
    </row>
    <row r="456" spans="1:25" x14ac:dyDescent="0.3">
      <c r="A456">
        <v>455</v>
      </c>
      <c r="B456" s="2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 t="str">
        <f>VLOOKUP(MasterData[[#This Row],[season]],[1]Lookup!$A$2:$B$5,2,FALSE)</f>
        <v>Spring</v>
      </c>
      <c r="R456" t="str">
        <f>TEXT(DATE(2026,E456,1),"mmmm")</f>
        <v>January</v>
      </c>
      <c r="S456" t="str">
        <f>IF(OR(H456=0,H456=6),"Weekend","Weekday")</f>
        <v>Weekday</v>
      </c>
      <c r="T456" s="1" t="str">
        <f>VLOOKUP(I456,[1]Lookup!$D$2:$E$5,2,FALSE)</f>
        <v>Mist / Cloudy</v>
      </c>
      <c r="U456" s="1" t="str">
        <f>IF(F456&lt;6,"Night",
IF(F456&lt;12,"Morning",
IF(F456&lt;17,"Afternoon",
IF(F456&lt;21,"Evening","Night"))))</f>
        <v>Night</v>
      </c>
      <c r="V456" s="1" t="str">
        <f>IF(J456&lt;0.3,"Cold",
IF(J456&lt;0.6,"Pleasant","Hot"))</f>
        <v>Cold</v>
      </c>
      <c r="W456" s="1" t="str">
        <f>IF(L456&lt;0.4,"Low",
IF(L456&lt;0.7,"Medium","High"))</f>
        <v>Medium</v>
      </c>
      <c r="X456" s="1" t="str">
        <f>IF(M456&lt;0.2,"Low",
IF(M456&lt;0.4,"Medium","High"))</f>
        <v>Medium</v>
      </c>
      <c r="Y456" s="1" t="str">
        <f>IF(P456&lt;100,"Low",
IF(P456&lt;300,"Medium","High"))</f>
        <v>Low</v>
      </c>
    </row>
    <row r="457" spans="1:25" x14ac:dyDescent="0.3">
      <c r="A457">
        <v>456</v>
      </c>
      <c r="B457" s="2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 t="str">
        <f>VLOOKUP(MasterData[[#This Row],[season]],[1]Lookup!$A$2:$B$5,2,FALSE)</f>
        <v>Spring</v>
      </c>
      <c r="R457" t="str">
        <f>TEXT(DATE(2026,E457,1),"mmmm")</f>
        <v>January</v>
      </c>
      <c r="S457" t="str">
        <f>IF(OR(H457=0,H457=6),"Weekend","Weekday")</f>
        <v>Weekday</v>
      </c>
      <c r="T457" s="1" t="str">
        <f>VLOOKUP(I457,[1]Lookup!$D$2:$E$5,2,FALSE)</f>
        <v>Mist / Cloudy</v>
      </c>
      <c r="U457" s="1" t="str">
        <f>IF(F457&lt;6,"Night",
IF(F457&lt;12,"Morning",
IF(F457&lt;17,"Afternoon",
IF(F457&lt;21,"Evening","Night"))))</f>
        <v>Night</v>
      </c>
      <c r="V457" s="1" t="str">
        <f>IF(J457&lt;0.3,"Cold",
IF(J457&lt;0.6,"Pleasant","Hot"))</f>
        <v>Cold</v>
      </c>
      <c r="W457" s="1" t="str">
        <f>IF(L457&lt;0.4,"Low",
IF(L457&lt;0.7,"Medium","High"))</f>
        <v>High</v>
      </c>
      <c r="X457" s="1" t="str">
        <f>IF(M457&lt;0.2,"Low",
IF(M457&lt;0.4,"Medium","High"))</f>
        <v>Medium</v>
      </c>
      <c r="Y457" s="1" t="str">
        <f>IF(P457&lt;100,"Low",
IF(P457&lt;300,"Medium","High"))</f>
        <v>Low</v>
      </c>
    </row>
    <row r="458" spans="1:25" x14ac:dyDescent="0.3">
      <c r="A458">
        <v>457</v>
      </c>
      <c r="B458" s="2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 t="str">
        <f>VLOOKUP(MasterData[[#This Row],[season]],[1]Lookup!$A$2:$B$5,2,FALSE)</f>
        <v>Spring</v>
      </c>
      <c r="R458" t="str">
        <f>TEXT(DATE(2026,E458,1),"mmmm")</f>
        <v>January</v>
      </c>
      <c r="S458" t="str">
        <f>IF(OR(H458=0,H458=6),"Weekend","Weekday")</f>
        <v>Weekday</v>
      </c>
      <c r="T458" s="1" t="str">
        <f>VLOOKUP(I458,[1]Lookup!$D$2:$E$5,2,FALSE)</f>
        <v>Mist / Cloudy</v>
      </c>
      <c r="U458" s="1" t="str">
        <f>IF(F458&lt;6,"Night",
IF(F458&lt;12,"Morning",
IF(F458&lt;17,"Afternoon",
IF(F458&lt;21,"Evening","Night"))))</f>
        <v>Night</v>
      </c>
      <c r="V458" s="1" t="str">
        <f>IF(J458&lt;0.3,"Cold",
IF(J458&lt;0.6,"Pleasant","Hot"))</f>
        <v>Cold</v>
      </c>
      <c r="W458" s="1" t="str">
        <f>IF(L458&lt;0.4,"Low",
IF(L458&lt;0.7,"Medium","High"))</f>
        <v>High</v>
      </c>
      <c r="X458" s="1" t="str">
        <f>IF(M458&lt;0.2,"Low",
IF(M458&lt;0.4,"Medium","High"))</f>
        <v>Medium</v>
      </c>
      <c r="Y458" s="1" t="str">
        <f>IF(P458&lt;100,"Low",
IF(P458&lt;300,"Medium","High"))</f>
        <v>Low</v>
      </c>
    </row>
    <row r="459" spans="1:25" x14ac:dyDescent="0.3">
      <c r="A459">
        <v>458</v>
      </c>
      <c r="B459" s="2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 t="str">
        <f>VLOOKUP(MasterData[[#This Row],[season]],[1]Lookup!$A$2:$B$5,2,FALSE)</f>
        <v>Spring</v>
      </c>
      <c r="R459" t="str">
        <f>TEXT(DATE(2026,E459,1),"mmmm")</f>
        <v>January</v>
      </c>
      <c r="S459" t="str">
        <f>IF(OR(H459=0,H459=6),"Weekend","Weekday")</f>
        <v>Weekday</v>
      </c>
      <c r="T459" s="1" t="str">
        <f>VLOOKUP(I459,[1]Lookup!$D$2:$E$5,2,FALSE)</f>
        <v>Light Rain / Snow</v>
      </c>
      <c r="U459" s="1" t="str">
        <f>IF(F459&lt;6,"Night",
IF(F459&lt;12,"Morning",
IF(F459&lt;17,"Afternoon",
IF(F459&lt;21,"Evening","Night"))))</f>
        <v>Night</v>
      </c>
      <c r="V459" s="1" t="str">
        <f>IF(J459&lt;0.3,"Cold",
IF(J459&lt;0.6,"Pleasant","Hot"))</f>
        <v>Cold</v>
      </c>
      <c r="W459" s="1" t="str">
        <f>IF(L459&lt;0.4,"Low",
IF(L459&lt;0.7,"Medium","High"))</f>
        <v>High</v>
      </c>
      <c r="X459" s="1" t="str">
        <f>IF(M459&lt;0.2,"Low",
IF(M459&lt;0.4,"Medium","High"))</f>
        <v>Low</v>
      </c>
      <c r="Y459" s="1" t="str">
        <f>IF(P459&lt;100,"Low",
IF(P459&lt;300,"Medium","High"))</f>
        <v>Low</v>
      </c>
    </row>
    <row r="460" spans="1:25" x14ac:dyDescent="0.3">
      <c r="A460">
        <v>459</v>
      </c>
      <c r="B460" s="2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 t="str">
        <f>VLOOKUP(MasterData[[#This Row],[season]],[1]Lookup!$A$2:$B$5,2,FALSE)</f>
        <v>Spring</v>
      </c>
      <c r="R460" t="str">
        <f>TEXT(DATE(2026,E460,1),"mmmm")</f>
        <v>January</v>
      </c>
      <c r="S460" t="str">
        <f>IF(OR(H460=0,H460=6),"Weekend","Weekday")</f>
        <v>Weekday</v>
      </c>
      <c r="T460" s="1" t="str">
        <f>VLOOKUP(I460,[1]Lookup!$D$2:$E$5,2,FALSE)</f>
        <v>Light Rain / Snow</v>
      </c>
      <c r="U460" s="1" t="str">
        <f>IF(F460&lt;6,"Night",
IF(F460&lt;12,"Morning",
IF(F460&lt;17,"Afternoon",
IF(F460&lt;21,"Evening","Night"))))</f>
        <v>Night</v>
      </c>
      <c r="V460" s="1" t="str">
        <f>IF(J460&lt;0.3,"Cold",
IF(J460&lt;0.6,"Pleasant","Hot"))</f>
        <v>Cold</v>
      </c>
      <c r="W460" s="1" t="str">
        <f>IF(L460&lt;0.4,"Low",
IF(L460&lt;0.7,"Medium","High"))</f>
        <v>High</v>
      </c>
      <c r="X460" s="1" t="str">
        <f>IF(M460&lt;0.2,"Low",
IF(M460&lt;0.4,"Medium","High"))</f>
        <v>Medium</v>
      </c>
      <c r="Y460" s="1" t="str">
        <f>IF(P460&lt;100,"Low",
IF(P460&lt;300,"Medium","High"))</f>
        <v>Low</v>
      </c>
    </row>
    <row r="461" spans="1:25" x14ac:dyDescent="0.3">
      <c r="A461">
        <v>460</v>
      </c>
      <c r="B461" s="2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 t="str">
        <f>VLOOKUP(MasterData[[#This Row],[season]],[1]Lookup!$A$2:$B$5,2,FALSE)</f>
        <v>Spring</v>
      </c>
      <c r="R461" t="str">
        <f>TEXT(DATE(2026,E461,1),"mmmm")</f>
        <v>January</v>
      </c>
      <c r="S461" t="str">
        <f>IF(OR(H461=0,H461=6),"Weekend","Weekday")</f>
        <v>Weekday</v>
      </c>
      <c r="T461" s="1" t="str">
        <f>VLOOKUP(I461,[1]Lookup!$D$2:$E$5,2,FALSE)</f>
        <v>Mist / Cloudy</v>
      </c>
      <c r="U461" s="1" t="str">
        <f>IF(F461&lt;6,"Night",
IF(F461&lt;12,"Morning",
IF(F461&lt;17,"Afternoon",
IF(F461&lt;21,"Evening","Night"))))</f>
        <v>Night</v>
      </c>
      <c r="V461" s="1" t="str">
        <f>IF(J461&lt;0.3,"Cold",
IF(J461&lt;0.6,"Pleasant","Hot"))</f>
        <v>Cold</v>
      </c>
      <c r="W461" s="1" t="str">
        <f>IF(L461&lt;0.4,"Low",
IF(L461&lt;0.7,"Medium","High"))</f>
        <v>High</v>
      </c>
      <c r="X461" s="1" t="str">
        <f>IF(M461&lt;0.2,"Low",
IF(M461&lt;0.4,"Medium","High"))</f>
        <v>Low</v>
      </c>
      <c r="Y461" s="1" t="str">
        <f>IF(P461&lt;100,"Low",
IF(P461&lt;300,"Medium","High"))</f>
        <v>Low</v>
      </c>
    </row>
    <row r="462" spans="1:25" x14ac:dyDescent="0.3">
      <c r="A462">
        <v>461</v>
      </c>
      <c r="B462" s="2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 t="str">
        <f>VLOOKUP(MasterData[[#This Row],[season]],[1]Lookup!$A$2:$B$5,2,FALSE)</f>
        <v>Spring</v>
      </c>
      <c r="R462" t="str">
        <f>TEXT(DATE(2026,E462,1),"mmmm")</f>
        <v>January</v>
      </c>
      <c r="S462" t="str">
        <f>IF(OR(H462=0,H462=6),"Weekend","Weekday")</f>
        <v>Weekday</v>
      </c>
      <c r="T462" s="1" t="str">
        <f>VLOOKUP(I462,[1]Lookup!$D$2:$E$5,2,FALSE)</f>
        <v>Clear</v>
      </c>
      <c r="U462" s="1" t="str">
        <f>IF(F462&lt;6,"Night",
IF(F462&lt;12,"Morning",
IF(F462&lt;17,"Afternoon",
IF(F462&lt;21,"Evening","Night"))))</f>
        <v>Night</v>
      </c>
      <c r="V462" s="1" t="str">
        <f>IF(J462&lt;0.3,"Cold",
IF(J462&lt;0.6,"Pleasant","Hot"))</f>
        <v>Cold</v>
      </c>
      <c r="W462" s="1" t="str">
        <f>IF(L462&lt;0.4,"Low",
IF(L462&lt;0.7,"Medium","High"))</f>
        <v>Medium</v>
      </c>
      <c r="X462" s="1" t="str">
        <f>IF(M462&lt;0.2,"Low",
IF(M462&lt;0.4,"Medium","High"))</f>
        <v>High</v>
      </c>
      <c r="Y462" s="1" t="str">
        <f>IF(P462&lt;100,"Low",
IF(P462&lt;300,"Medium","High"))</f>
        <v>Low</v>
      </c>
    </row>
    <row r="463" spans="1:25" x14ac:dyDescent="0.3">
      <c r="A463">
        <v>462</v>
      </c>
      <c r="B463" s="2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 t="str">
        <f>VLOOKUP(MasterData[[#This Row],[season]],[1]Lookup!$A$2:$B$5,2,FALSE)</f>
        <v>Spring</v>
      </c>
      <c r="R463" t="str">
        <f>TEXT(DATE(2026,E463,1),"mmmm")</f>
        <v>January</v>
      </c>
      <c r="S463" t="str">
        <f>IF(OR(H463=0,H463=6),"Weekend","Weekday")</f>
        <v>Weekday</v>
      </c>
      <c r="T463" s="1" t="str">
        <f>VLOOKUP(I463,[1]Lookup!$D$2:$E$5,2,FALSE)</f>
        <v>Clear</v>
      </c>
      <c r="U463" s="1" t="str">
        <f>IF(F463&lt;6,"Night",
IF(F463&lt;12,"Morning",
IF(F463&lt;17,"Afternoon",
IF(F463&lt;21,"Evening","Night"))))</f>
        <v>Morning</v>
      </c>
      <c r="V463" s="1" t="str">
        <f>IF(J463&lt;0.3,"Cold",
IF(J463&lt;0.6,"Pleasant","Hot"))</f>
        <v>Cold</v>
      </c>
      <c r="W463" s="1" t="str">
        <f>IF(L463&lt;0.4,"Low",
IF(L463&lt;0.7,"Medium","High"))</f>
        <v>Medium</v>
      </c>
      <c r="X463" s="1" t="str">
        <f>IF(M463&lt;0.2,"Low",
IF(M463&lt;0.4,"Medium","High"))</f>
        <v>Medium</v>
      </c>
      <c r="Y463" s="1" t="str">
        <f>IF(P463&lt;100,"Low",
IF(P463&lt;300,"Medium","High"))</f>
        <v>Low</v>
      </c>
    </row>
    <row r="464" spans="1:25" x14ac:dyDescent="0.3">
      <c r="A464">
        <v>463</v>
      </c>
      <c r="B464" s="2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 t="str">
        <f>VLOOKUP(MasterData[[#This Row],[season]],[1]Lookup!$A$2:$B$5,2,FALSE)</f>
        <v>Spring</v>
      </c>
      <c r="R464" t="str">
        <f>TEXT(DATE(2026,E464,1),"mmmm")</f>
        <v>January</v>
      </c>
      <c r="S464" t="str">
        <f>IF(OR(H464=0,H464=6),"Weekend","Weekday")</f>
        <v>Weekday</v>
      </c>
      <c r="T464" s="1" t="str">
        <f>VLOOKUP(I464,[1]Lookup!$D$2:$E$5,2,FALSE)</f>
        <v>Clear</v>
      </c>
      <c r="U464" s="1" t="str">
        <f>IF(F464&lt;6,"Night",
IF(F464&lt;12,"Morning",
IF(F464&lt;17,"Afternoon",
IF(F464&lt;21,"Evening","Night"))))</f>
        <v>Morning</v>
      </c>
      <c r="V464" s="1" t="str">
        <f>IF(J464&lt;0.3,"Cold",
IF(J464&lt;0.6,"Pleasant","Hot"))</f>
        <v>Cold</v>
      </c>
      <c r="W464" s="1" t="str">
        <f>IF(L464&lt;0.4,"Low",
IF(L464&lt;0.7,"Medium","High"))</f>
        <v>Medium</v>
      </c>
      <c r="X464" s="1" t="str">
        <f>IF(M464&lt;0.2,"Low",
IF(M464&lt;0.4,"Medium","High"))</f>
        <v>Medium</v>
      </c>
      <c r="Y464" s="1" t="str">
        <f>IF(P464&lt;100,"Low",
IF(P464&lt;300,"Medium","High"))</f>
        <v>Low</v>
      </c>
    </row>
    <row r="465" spans="1:25" x14ac:dyDescent="0.3">
      <c r="A465">
        <v>464</v>
      </c>
      <c r="B465" s="2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 t="str">
        <f>VLOOKUP(MasterData[[#This Row],[season]],[1]Lookup!$A$2:$B$5,2,FALSE)</f>
        <v>Spring</v>
      </c>
      <c r="R465" t="str">
        <f>TEXT(DATE(2026,E465,1),"mmmm")</f>
        <v>January</v>
      </c>
      <c r="S465" t="str">
        <f>IF(OR(H465=0,H465=6),"Weekend","Weekday")</f>
        <v>Weekday</v>
      </c>
      <c r="T465" s="1" t="str">
        <f>VLOOKUP(I465,[1]Lookup!$D$2:$E$5,2,FALSE)</f>
        <v>Clear</v>
      </c>
      <c r="U465" s="1" t="str">
        <f>IF(F465&lt;6,"Night",
IF(F465&lt;12,"Morning",
IF(F465&lt;17,"Afternoon",
IF(F465&lt;21,"Evening","Night"))))</f>
        <v>Morning</v>
      </c>
      <c r="V465" s="1" t="str">
        <f>IF(J465&lt;0.3,"Cold",
IF(J465&lt;0.6,"Pleasant","Hot"))</f>
        <v>Cold</v>
      </c>
      <c r="W465" s="1" t="str">
        <f>IF(L465&lt;0.4,"Low",
IF(L465&lt;0.7,"Medium","High"))</f>
        <v>Medium</v>
      </c>
      <c r="X465" s="1" t="str">
        <f>IF(M465&lt;0.2,"Low",
IF(M465&lt;0.4,"Medium","High"))</f>
        <v>Medium</v>
      </c>
      <c r="Y465" s="1" t="str">
        <f>IF(P465&lt;100,"Low",
IF(P465&lt;300,"Medium","High"))</f>
        <v>Medium</v>
      </c>
    </row>
    <row r="466" spans="1:25" x14ac:dyDescent="0.3">
      <c r="A466">
        <v>465</v>
      </c>
      <c r="B466" s="2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 t="str">
        <f>VLOOKUP(MasterData[[#This Row],[season]],[1]Lookup!$A$2:$B$5,2,FALSE)</f>
        <v>Spring</v>
      </c>
      <c r="R466" t="str">
        <f>TEXT(DATE(2026,E466,1),"mmmm")</f>
        <v>January</v>
      </c>
      <c r="S466" t="str">
        <f>IF(OR(H466=0,H466=6),"Weekend","Weekday")</f>
        <v>Weekday</v>
      </c>
      <c r="T466" s="1" t="str">
        <f>VLOOKUP(I466,[1]Lookup!$D$2:$E$5,2,FALSE)</f>
        <v>Clear</v>
      </c>
      <c r="U466" s="1" t="str">
        <f>IF(F466&lt;6,"Night",
IF(F466&lt;12,"Morning",
IF(F466&lt;17,"Afternoon",
IF(F466&lt;21,"Evening","Night"))))</f>
        <v>Morning</v>
      </c>
      <c r="V466" s="1" t="str">
        <f>IF(J466&lt;0.3,"Cold",
IF(J466&lt;0.6,"Pleasant","Hot"))</f>
        <v>Cold</v>
      </c>
      <c r="W466" s="1" t="str">
        <f>IF(L466&lt;0.4,"Low",
IF(L466&lt;0.7,"Medium","High"))</f>
        <v>Medium</v>
      </c>
      <c r="X466" s="1" t="str">
        <f>IF(M466&lt;0.2,"Low",
IF(M466&lt;0.4,"Medium","High"))</f>
        <v>Medium</v>
      </c>
      <c r="Y466" s="1" t="str">
        <f>IF(P466&lt;100,"Low",
IF(P466&lt;300,"Medium","High"))</f>
        <v>Medium</v>
      </c>
    </row>
    <row r="467" spans="1:25" x14ac:dyDescent="0.3">
      <c r="A467">
        <v>466</v>
      </c>
      <c r="B467" s="2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 t="str">
        <f>VLOOKUP(MasterData[[#This Row],[season]],[1]Lookup!$A$2:$B$5,2,FALSE)</f>
        <v>Spring</v>
      </c>
      <c r="R467" t="str">
        <f>TEXT(DATE(2026,E467,1),"mmmm")</f>
        <v>January</v>
      </c>
      <c r="S467" t="str">
        <f>IF(OR(H467=0,H467=6),"Weekend","Weekday")</f>
        <v>Weekday</v>
      </c>
      <c r="T467" s="1" t="str">
        <f>VLOOKUP(I467,[1]Lookup!$D$2:$E$5,2,FALSE)</f>
        <v>Clear</v>
      </c>
      <c r="U467" s="1" t="str">
        <f>IF(F467&lt;6,"Night",
IF(F467&lt;12,"Morning",
IF(F467&lt;17,"Afternoon",
IF(F467&lt;21,"Evening","Night"))))</f>
        <v>Morning</v>
      </c>
      <c r="V467" s="1" t="str">
        <f>IF(J467&lt;0.3,"Cold",
IF(J467&lt;0.6,"Pleasant","Hot"))</f>
        <v>Cold</v>
      </c>
      <c r="W467" s="1" t="str">
        <f>IF(L467&lt;0.4,"Low",
IF(L467&lt;0.7,"Medium","High"))</f>
        <v>Medium</v>
      </c>
      <c r="X467" s="1" t="str">
        <f>IF(M467&lt;0.2,"Low",
IF(M467&lt;0.4,"Medium","High"))</f>
        <v>High</v>
      </c>
      <c r="Y467" s="1" t="str">
        <f>IF(P467&lt;100,"Low",
IF(P467&lt;300,"Medium","High"))</f>
        <v>Low</v>
      </c>
    </row>
    <row r="468" spans="1:25" x14ac:dyDescent="0.3">
      <c r="A468">
        <v>467</v>
      </c>
      <c r="B468" s="2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 t="str">
        <f>VLOOKUP(MasterData[[#This Row],[season]],[1]Lookup!$A$2:$B$5,2,FALSE)</f>
        <v>Spring</v>
      </c>
      <c r="R468" t="str">
        <f>TEXT(DATE(2026,E468,1),"mmmm")</f>
        <v>January</v>
      </c>
      <c r="S468" t="str">
        <f>IF(OR(H468=0,H468=6),"Weekend","Weekday")</f>
        <v>Weekday</v>
      </c>
      <c r="T468" s="1" t="str">
        <f>VLOOKUP(I468,[1]Lookup!$D$2:$E$5,2,FALSE)</f>
        <v>Clear</v>
      </c>
      <c r="U468" s="1" t="str">
        <f>IF(F468&lt;6,"Night",
IF(F468&lt;12,"Morning",
IF(F468&lt;17,"Afternoon",
IF(F468&lt;21,"Evening","Night"))))</f>
        <v>Morning</v>
      </c>
      <c r="V468" s="1" t="str">
        <f>IF(J468&lt;0.3,"Cold",
IF(J468&lt;0.6,"Pleasant","Hot"))</f>
        <v>Cold</v>
      </c>
      <c r="W468" s="1" t="str">
        <f>IF(L468&lt;0.4,"Low",
IF(L468&lt;0.7,"Medium","High"))</f>
        <v>Medium</v>
      </c>
      <c r="X468" s="1" t="str">
        <f>IF(M468&lt;0.2,"Low",
IF(M468&lt;0.4,"Medium","High"))</f>
        <v>High</v>
      </c>
      <c r="Y468" s="1" t="str">
        <f>IF(P468&lt;100,"Low",
IF(P468&lt;300,"Medium","High"))</f>
        <v>Low</v>
      </c>
    </row>
    <row r="469" spans="1:25" x14ac:dyDescent="0.3">
      <c r="A469">
        <v>468</v>
      </c>
      <c r="B469" s="2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 t="str">
        <f>VLOOKUP(MasterData[[#This Row],[season]],[1]Lookup!$A$2:$B$5,2,FALSE)</f>
        <v>Spring</v>
      </c>
      <c r="R469" t="str">
        <f>TEXT(DATE(2026,E469,1),"mmmm")</f>
        <v>January</v>
      </c>
      <c r="S469" t="str">
        <f>IF(OR(H469=0,H469=6),"Weekend","Weekday")</f>
        <v>Weekday</v>
      </c>
      <c r="T469" s="1" t="str">
        <f>VLOOKUP(I469,[1]Lookup!$D$2:$E$5,2,FALSE)</f>
        <v>Clear</v>
      </c>
      <c r="U469" s="1" t="str">
        <f>IF(F469&lt;6,"Night",
IF(F469&lt;12,"Morning",
IF(F469&lt;17,"Afternoon",
IF(F469&lt;21,"Evening","Night"))))</f>
        <v>Afternoon</v>
      </c>
      <c r="V469" s="1" t="str">
        <f>IF(J469&lt;0.3,"Cold",
IF(J469&lt;0.6,"Pleasant","Hot"))</f>
        <v>Cold</v>
      </c>
      <c r="W469" s="1" t="str">
        <f>IF(L469&lt;0.4,"Low",
IF(L469&lt;0.7,"Medium","High"))</f>
        <v>Low</v>
      </c>
      <c r="X469" s="1" t="str">
        <f>IF(M469&lt;0.2,"Low",
IF(M469&lt;0.4,"Medium","High"))</f>
        <v>High</v>
      </c>
      <c r="Y469" s="1" t="str">
        <f>IF(P469&lt;100,"Low",
IF(P469&lt;300,"Medium","High"))</f>
        <v>Low</v>
      </c>
    </row>
    <row r="470" spans="1:25" x14ac:dyDescent="0.3">
      <c r="A470">
        <v>469</v>
      </c>
      <c r="B470" s="2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 t="str">
        <f>VLOOKUP(MasterData[[#This Row],[season]],[1]Lookup!$A$2:$B$5,2,FALSE)</f>
        <v>Spring</v>
      </c>
      <c r="R470" t="str">
        <f>TEXT(DATE(2026,E470,1),"mmmm")</f>
        <v>January</v>
      </c>
      <c r="S470" t="str">
        <f>IF(OR(H470=0,H470=6),"Weekend","Weekday")</f>
        <v>Weekday</v>
      </c>
      <c r="T470" s="1" t="str">
        <f>VLOOKUP(I470,[1]Lookup!$D$2:$E$5,2,FALSE)</f>
        <v>Clear</v>
      </c>
      <c r="U470" s="1" t="str">
        <f>IF(F470&lt;6,"Night",
IF(F470&lt;12,"Morning",
IF(F470&lt;17,"Afternoon",
IF(F470&lt;21,"Evening","Night"))))</f>
        <v>Afternoon</v>
      </c>
      <c r="V470" s="1" t="str">
        <f>IF(J470&lt;0.3,"Cold",
IF(J470&lt;0.6,"Pleasant","Hot"))</f>
        <v>Cold</v>
      </c>
      <c r="W470" s="1" t="str">
        <f>IF(L470&lt;0.4,"Low",
IF(L470&lt;0.7,"Medium","High"))</f>
        <v>Low</v>
      </c>
      <c r="X470" s="1" t="str">
        <f>IF(M470&lt;0.2,"Low",
IF(M470&lt;0.4,"Medium","High"))</f>
        <v>High</v>
      </c>
      <c r="Y470" s="1" t="str">
        <f>IF(P470&lt;100,"Low",
IF(P470&lt;300,"Medium","High"))</f>
        <v>Low</v>
      </c>
    </row>
    <row r="471" spans="1:25" x14ac:dyDescent="0.3">
      <c r="A471">
        <v>470</v>
      </c>
      <c r="B471" s="2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 t="str">
        <f>VLOOKUP(MasterData[[#This Row],[season]],[1]Lookup!$A$2:$B$5,2,FALSE)</f>
        <v>Spring</v>
      </c>
      <c r="R471" t="str">
        <f>TEXT(DATE(2026,E471,1),"mmmm")</f>
        <v>January</v>
      </c>
      <c r="S471" t="str">
        <f>IF(OR(H471=0,H471=6),"Weekend","Weekday")</f>
        <v>Weekday</v>
      </c>
      <c r="T471" s="1" t="str">
        <f>VLOOKUP(I471,[1]Lookup!$D$2:$E$5,2,FALSE)</f>
        <v>Clear</v>
      </c>
      <c r="U471" s="1" t="str">
        <f>IF(F471&lt;6,"Night",
IF(F471&lt;12,"Morning",
IF(F471&lt;17,"Afternoon",
IF(F471&lt;21,"Evening","Night"))))</f>
        <v>Afternoon</v>
      </c>
      <c r="V471" s="1" t="str">
        <f>IF(J471&lt;0.3,"Cold",
IF(J471&lt;0.6,"Pleasant","Hot"))</f>
        <v>Cold</v>
      </c>
      <c r="W471" s="1" t="str">
        <f>IF(L471&lt;0.4,"Low",
IF(L471&lt;0.7,"Medium","High"))</f>
        <v>Low</v>
      </c>
      <c r="X471" s="1" t="str">
        <f>IF(M471&lt;0.2,"Low",
IF(M471&lt;0.4,"Medium","High"))</f>
        <v>High</v>
      </c>
      <c r="Y471" s="1" t="str">
        <f>IF(P471&lt;100,"Low",
IF(P471&lt;300,"Medium","High"))</f>
        <v>Low</v>
      </c>
    </row>
    <row r="472" spans="1:25" x14ac:dyDescent="0.3">
      <c r="A472">
        <v>471</v>
      </c>
      <c r="B472" s="2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 t="str">
        <f>VLOOKUP(MasterData[[#This Row],[season]],[1]Lookup!$A$2:$B$5,2,FALSE)</f>
        <v>Spring</v>
      </c>
      <c r="R472" t="str">
        <f>TEXT(DATE(2026,E472,1),"mmmm")</f>
        <v>January</v>
      </c>
      <c r="S472" t="str">
        <f>IF(OR(H472=0,H472=6),"Weekend","Weekday")</f>
        <v>Weekday</v>
      </c>
      <c r="T472" s="1" t="str">
        <f>VLOOKUP(I472,[1]Lookup!$D$2:$E$5,2,FALSE)</f>
        <v>Clear</v>
      </c>
      <c r="U472" s="1" t="str">
        <f>IF(F472&lt;6,"Night",
IF(F472&lt;12,"Morning",
IF(F472&lt;17,"Afternoon",
IF(F472&lt;21,"Evening","Night"))))</f>
        <v>Afternoon</v>
      </c>
      <c r="V472" s="1" t="str">
        <f>IF(J472&lt;0.3,"Cold",
IF(J472&lt;0.6,"Pleasant","Hot"))</f>
        <v>Cold</v>
      </c>
      <c r="W472" s="1" t="str">
        <f>IF(L472&lt;0.4,"Low",
IF(L472&lt;0.7,"Medium","High"))</f>
        <v>Low</v>
      </c>
      <c r="X472" s="1" t="str">
        <f>IF(M472&lt;0.2,"Low",
IF(M472&lt;0.4,"Medium","High"))</f>
        <v>High</v>
      </c>
      <c r="Y472" s="1" t="str">
        <f>IF(P472&lt;100,"Low",
IF(P472&lt;300,"Medium","High"))</f>
        <v>Low</v>
      </c>
    </row>
    <row r="473" spans="1:25" x14ac:dyDescent="0.3">
      <c r="A473">
        <v>472</v>
      </c>
      <c r="B473" s="2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 t="str">
        <f>VLOOKUP(MasterData[[#This Row],[season]],[1]Lookup!$A$2:$B$5,2,FALSE)</f>
        <v>Spring</v>
      </c>
      <c r="R473" t="str">
        <f>TEXT(DATE(2026,E473,1),"mmmm")</f>
        <v>January</v>
      </c>
      <c r="S473" t="str">
        <f>IF(OR(H473=0,H473=6),"Weekend","Weekday")</f>
        <v>Weekday</v>
      </c>
      <c r="T473" s="1" t="str">
        <f>VLOOKUP(I473,[1]Lookup!$D$2:$E$5,2,FALSE)</f>
        <v>Clear</v>
      </c>
      <c r="U473" s="1" t="str">
        <f>IF(F473&lt;6,"Night",
IF(F473&lt;12,"Morning",
IF(F473&lt;17,"Afternoon",
IF(F473&lt;21,"Evening","Night"))))</f>
        <v>Afternoon</v>
      </c>
      <c r="V473" s="1" t="str">
        <f>IF(J473&lt;0.3,"Cold",
IF(J473&lt;0.6,"Pleasant","Hot"))</f>
        <v>Cold</v>
      </c>
      <c r="W473" s="1" t="str">
        <f>IF(L473&lt;0.4,"Low",
IF(L473&lt;0.7,"Medium","High"))</f>
        <v>Low</v>
      </c>
      <c r="X473" s="1" t="str">
        <f>IF(M473&lt;0.2,"Low",
IF(M473&lt;0.4,"Medium","High"))</f>
        <v>Medium</v>
      </c>
      <c r="Y473" s="1" t="str">
        <f>IF(P473&lt;100,"Low",
IF(P473&lt;300,"Medium","High"))</f>
        <v>Low</v>
      </c>
    </row>
    <row r="474" spans="1:25" x14ac:dyDescent="0.3">
      <c r="A474">
        <v>473</v>
      </c>
      <c r="B474" s="2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 t="str">
        <f>VLOOKUP(MasterData[[#This Row],[season]],[1]Lookup!$A$2:$B$5,2,FALSE)</f>
        <v>Spring</v>
      </c>
      <c r="R474" t="str">
        <f>TEXT(DATE(2026,E474,1),"mmmm")</f>
        <v>January</v>
      </c>
      <c r="S474" t="str">
        <f>IF(OR(H474=0,H474=6),"Weekend","Weekday")</f>
        <v>Weekday</v>
      </c>
      <c r="T474" s="1" t="str">
        <f>VLOOKUP(I474,[1]Lookup!$D$2:$E$5,2,FALSE)</f>
        <v>Clear</v>
      </c>
      <c r="U474" s="1" t="str">
        <f>IF(F474&lt;6,"Night",
IF(F474&lt;12,"Morning",
IF(F474&lt;17,"Afternoon",
IF(F474&lt;21,"Evening","Night"))))</f>
        <v>Evening</v>
      </c>
      <c r="V474" s="1" t="str">
        <f>IF(J474&lt;0.3,"Cold",
IF(J474&lt;0.6,"Pleasant","Hot"))</f>
        <v>Cold</v>
      </c>
      <c r="W474" s="1" t="str">
        <f>IF(L474&lt;0.4,"Low",
IF(L474&lt;0.7,"Medium","High"))</f>
        <v>Low</v>
      </c>
      <c r="X474" s="1" t="str">
        <f>IF(M474&lt;0.2,"Low",
IF(M474&lt;0.4,"Medium","High"))</f>
        <v>Medium</v>
      </c>
      <c r="Y474" s="1" t="str">
        <f>IF(P474&lt;100,"Low",
IF(P474&lt;300,"Medium","High"))</f>
        <v>Medium</v>
      </c>
    </row>
    <row r="475" spans="1:25" x14ac:dyDescent="0.3">
      <c r="A475">
        <v>474</v>
      </c>
      <c r="B475" s="2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 t="str">
        <f>VLOOKUP(MasterData[[#This Row],[season]],[1]Lookup!$A$2:$B$5,2,FALSE)</f>
        <v>Spring</v>
      </c>
      <c r="R475" t="str">
        <f>TEXT(DATE(2026,E475,1),"mmmm")</f>
        <v>January</v>
      </c>
      <c r="S475" t="str">
        <f>IF(OR(H475=0,H475=6),"Weekend","Weekday")</f>
        <v>Weekday</v>
      </c>
      <c r="T475" s="1" t="str">
        <f>VLOOKUP(I475,[1]Lookup!$D$2:$E$5,2,FALSE)</f>
        <v>Clear</v>
      </c>
      <c r="U475" s="1" t="str">
        <f>IF(F475&lt;6,"Night",
IF(F475&lt;12,"Morning",
IF(F475&lt;17,"Afternoon",
IF(F475&lt;21,"Evening","Night"))))</f>
        <v>Evening</v>
      </c>
      <c r="V475" s="1" t="str">
        <f>IF(J475&lt;0.3,"Cold",
IF(J475&lt;0.6,"Pleasant","Hot"))</f>
        <v>Cold</v>
      </c>
      <c r="W475" s="1" t="str">
        <f>IF(L475&lt;0.4,"Low",
IF(L475&lt;0.7,"Medium","High"))</f>
        <v>Low</v>
      </c>
      <c r="X475" s="1" t="str">
        <f>IF(M475&lt;0.2,"Low",
IF(M475&lt;0.4,"Medium","High"))</f>
        <v>Medium</v>
      </c>
      <c r="Y475" s="1" t="str">
        <f>IF(P475&lt;100,"Low",
IF(P475&lt;300,"Medium","High"))</f>
        <v>Medium</v>
      </c>
    </row>
    <row r="476" spans="1:25" x14ac:dyDescent="0.3">
      <c r="A476">
        <v>475</v>
      </c>
      <c r="B476" s="2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 t="str">
        <f>VLOOKUP(MasterData[[#This Row],[season]],[1]Lookup!$A$2:$B$5,2,FALSE)</f>
        <v>Spring</v>
      </c>
      <c r="R476" t="str">
        <f>TEXT(DATE(2026,E476,1),"mmmm")</f>
        <v>January</v>
      </c>
      <c r="S476" t="str">
        <f>IF(OR(H476=0,H476=6),"Weekend","Weekday")</f>
        <v>Weekday</v>
      </c>
      <c r="T476" s="1" t="str">
        <f>VLOOKUP(I476,[1]Lookup!$D$2:$E$5,2,FALSE)</f>
        <v>Clear</v>
      </c>
      <c r="U476" s="1" t="str">
        <f>IF(F476&lt;6,"Night",
IF(F476&lt;12,"Morning",
IF(F476&lt;17,"Afternoon",
IF(F476&lt;21,"Evening","Night"))))</f>
        <v>Evening</v>
      </c>
      <c r="V476" s="1" t="str">
        <f>IF(J476&lt;0.3,"Cold",
IF(J476&lt;0.6,"Pleasant","Hot"))</f>
        <v>Cold</v>
      </c>
      <c r="W476" s="1" t="str">
        <f>IF(L476&lt;0.4,"Low",
IF(L476&lt;0.7,"Medium","High"))</f>
        <v>Low</v>
      </c>
      <c r="X476" s="1" t="str">
        <f>IF(M476&lt;0.2,"Low",
IF(M476&lt;0.4,"Medium","High"))</f>
        <v>Medium</v>
      </c>
      <c r="Y476" s="1" t="str">
        <f>IF(P476&lt;100,"Low",
IF(P476&lt;300,"Medium","High"))</f>
        <v>Low</v>
      </c>
    </row>
    <row r="477" spans="1:25" x14ac:dyDescent="0.3">
      <c r="A477">
        <v>476</v>
      </c>
      <c r="B477" s="2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 t="str">
        <f>VLOOKUP(MasterData[[#This Row],[season]],[1]Lookup!$A$2:$B$5,2,FALSE)</f>
        <v>Spring</v>
      </c>
      <c r="R477" t="str">
        <f>TEXT(DATE(2026,E477,1),"mmmm")</f>
        <v>January</v>
      </c>
      <c r="S477" t="str">
        <f>IF(OR(H477=0,H477=6),"Weekend","Weekday")</f>
        <v>Weekday</v>
      </c>
      <c r="T477" s="1" t="str">
        <f>VLOOKUP(I477,[1]Lookup!$D$2:$E$5,2,FALSE)</f>
        <v>Clear</v>
      </c>
      <c r="U477" s="1" t="str">
        <f>IF(F477&lt;6,"Night",
IF(F477&lt;12,"Morning",
IF(F477&lt;17,"Afternoon",
IF(F477&lt;21,"Evening","Night"))))</f>
        <v>Evening</v>
      </c>
      <c r="V477" s="1" t="str">
        <f>IF(J477&lt;0.3,"Cold",
IF(J477&lt;0.6,"Pleasant","Hot"))</f>
        <v>Cold</v>
      </c>
      <c r="W477" s="1" t="str">
        <f>IF(L477&lt;0.4,"Low",
IF(L477&lt;0.7,"Medium","High"))</f>
        <v>Low</v>
      </c>
      <c r="X477" s="1" t="str">
        <f>IF(M477&lt;0.2,"Low",
IF(M477&lt;0.4,"Medium","High"))</f>
        <v>High</v>
      </c>
      <c r="Y477" s="1" t="str">
        <f>IF(P477&lt;100,"Low",
IF(P477&lt;300,"Medium","High"))</f>
        <v>Low</v>
      </c>
    </row>
    <row r="478" spans="1:25" x14ac:dyDescent="0.3">
      <c r="A478">
        <v>477</v>
      </c>
      <c r="B478" s="2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 t="str">
        <f>VLOOKUP(MasterData[[#This Row],[season]],[1]Lookup!$A$2:$B$5,2,FALSE)</f>
        <v>Spring</v>
      </c>
      <c r="R478" t="str">
        <f>TEXT(DATE(2026,E478,1),"mmmm")</f>
        <v>January</v>
      </c>
      <c r="S478" t="str">
        <f>IF(OR(H478=0,H478=6),"Weekend","Weekday")</f>
        <v>Weekday</v>
      </c>
      <c r="T478" s="1" t="str">
        <f>VLOOKUP(I478,[1]Lookup!$D$2:$E$5,2,FALSE)</f>
        <v>Clear</v>
      </c>
      <c r="U478" s="1" t="str">
        <f>IF(F478&lt;6,"Night",
IF(F478&lt;12,"Morning",
IF(F478&lt;17,"Afternoon",
IF(F478&lt;21,"Evening","Night"))))</f>
        <v>Night</v>
      </c>
      <c r="V478" s="1" t="str">
        <f>IF(J478&lt;0.3,"Cold",
IF(J478&lt;0.6,"Pleasant","Hot"))</f>
        <v>Cold</v>
      </c>
      <c r="W478" s="1" t="str">
        <f>IF(L478&lt;0.4,"Low",
IF(L478&lt;0.7,"Medium","High"))</f>
        <v>Low</v>
      </c>
      <c r="X478" s="1" t="str">
        <f>IF(M478&lt;0.2,"Low",
IF(M478&lt;0.4,"Medium","High"))</f>
        <v>Medium</v>
      </c>
      <c r="Y478" s="1" t="str">
        <f>IF(P478&lt;100,"Low",
IF(P478&lt;300,"Medium","High"))</f>
        <v>Low</v>
      </c>
    </row>
    <row r="479" spans="1:25" x14ac:dyDescent="0.3">
      <c r="A479">
        <v>478</v>
      </c>
      <c r="B479" s="2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 t="str">
        <f>VLOOKUP(MasterData[[#This Row],[season]],[1]Lookup!$A$2:$B$5,2,FALSE)</f>
        <v>Spring</v>
      </c>
      <c r="R479" t="str">
        <f>TEXT(DATE(2026,E479,1),"mmmm")</f>
        <v>January</v>
      </c>
      <c r="S479" t="str">
        <f>IF(OR(H479=0,H479=6),"Weekend","Weekday")</f>
        <v>Weekday</v>
      </c>
      <c r="T479" s="1" t="str">
        <f>VLOOKUP(I479,[1]Lookup!$D$2:$E$5,2,FALSE)</f>
        <v>Clear</v>
      </c>
      <c r="U479" s="1" t="str">
        <f>IF(F479&lt;6,"Night",
IF(F479&lt;12,"Morning",
IF(F479&lt;17,"Afternoon",
IF(F479&lt;21,"Evening","Night"))))</f>
        <v>Night</v>
      </c>
      <c r="V479" s="1" t="str">
        <f>IF(J479&lt;0.3,"Cold",
IF(J479&lt;0.6,"Pleasant","Hot"))</f>
        <v>Cold</v>
      </c>
      <c r="W479" s="1" t="str">
        <f>IF(L479&lt;0.4,"Low",
IF(L479&lt;0.7,"Medium","High"))</f>
        <v>Medium</v>
      </c>
      <c r="X479" s="1" t="str">
        <f>IF(M479&lt;0.2,"Low",
IF(M479&lt;0.4,"Medium","High"))</f>
        <v>Medium</v>
      </c>
      <c r="Y479" s="1" t="str">
        <f>IF(P479&lt;100,"Low",
IF(P479&lt;300,"Medium","High"))</f>
        <v>Low</v>
      </c>
    </row>
    <row r="480" spans="1:25" x14ac:dyDescent="0.3">
      <c r="A480">
        <v>479</v>
      </c>
      <c r="B480" s="2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 t="str">
        <f>VLOOKUP(MasterData[[#This Row],[season]],[1]Lookup!$A$2:$B$5,2,FALSE)</f>
        <v>Spring</v>
      </c>
      <c r="R480" t="str">
        <f>TEXT(DATE(2026,E480,1),"mmmm")</f>
        <v>January</v>
      </c>
      <c r="S480" t="str">
        <f>IF(OR(H480=0,H480=6),"Weekend","Weekday")</f>
        <v>Weekday</v>
      </c>
      <c r="T480" s="1" t="str">
        <f>VLOOKUP(I480,[1]Lookup!$D$2:$E$5,2,FALSE)</f>
        <v>Clear</v>
      </c>
      <c r="U480" s="1" t="str">
        <f>IF(F480&lt;6,"Night",
IF(F480&lt;12,"Morning",
IF(F480&lt;17,"Afternoon",
IF(F480&lt;21,"Evening","Night"))))</f>
        <v>Night</v>
      </c>
      <c r="V480" s="1" t="str">
        <f>IF(J480&lt;0.3,"Cold",
IF(J480&lt;0.6,"Pleasant","Hot"))</f>
        <v>Cold</v>
      </c>
      <c r="W480" s="1" t="str">
        <f>IF(L480&lt;0.4,"Low",
IF(L480&lt;0.7,"Medium","High"))</f>
        <v>Low</v>
      </c>
      <c r="X480" s="1" t="str">
        <f>IF(M480&lt;0.2,"Low",
IF(M480&lt;0.4,"Medium","High"))</f>
        <v>Medium</v>
      </c>
      <c r="Y480" s="1" t="str">
        <f>IF(P480&lt;100,"Low",
IF(P480&lt;300,"Medium","High"))</f>
        <v>Low</v>
      </c>
    </row>
    <row r="481" spans="1:25" x14ac:dyDescent="0.3">
      <c r="A481">
        <v>480</v>
      </c>
      <c r="B481" s="2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 t="str">
        <f>VLOOKUP(MasterData[[#This Row],[season]],[1]Lookup!$A$2:$B$5,2,FALSE)</f>
        <v>Spring</v>
      </c>
      <c r="R481" t="str">
        <f>TEXT(DATE(2026,E481,1),"mmmm")</f>
        <v>January</v>
      </c>
      <c r="S481" t="str">
        <f>IF(OR(H481=0,H481=6),"Weekend","Weekday")</f>
        <v>Weekend</v>
      </c>
      <c r="T481" s="1" t="str">
        <f>VLOOKUP(I481,[1]Lookup!$D$2:$E$5,2,FALSE)</f>
        <v>Clear</v>
      </c>
      <c r="U481" s="1" t="str">
        <f>IF(F481&lt;6,"Night",
IF(F481&lt;12,"Morning",
IF(F481&lt;17,"Afternoon",
IF(F481&lt;21,"Evening","Night"))))</f>
        <v>Night</v>
      </c>
      <c r="V481" s="1" t="str">
        <f>IF(J481&lt;0.3,"Cold",
IF(J481&lt;0.6,"Pleasant","Hot"))</f>
        <v>Cold</v>
      </c>
      <c r="W481" s="1" t="str">
        <f>IF(L481&lt;0.4,"Low",
IF(L481&lt;0.7,"Medium","High"))</f>
        <v>Medium</v>
      </c>
      <c r="X481" s="1" t="str">
        <f>IF(M481&lt;0.2,"Low",
IF(M481&lt;0.4,"Medium","High"))</f>
        <v>Medium</v>
      </c>
      <c r="Y481" s="1" t="str">
        <f>IF(P481&lt;100,"Low",
IF(P481&lt;300,"Medium","High"))</f>
        <v>Low</v>
      </c>
    </row>
    <row r="482" spans="1:25" x14ac:dyDescent="0.3">
      <c r="A482">
        <v>481</v>
      </c>
      <c r="B482" s="2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  <c r="Q482" t="str">
        <f>VLOOKUP(MasterData[[#This Row],[season]],[1]Lookup!$A$2:$B$5,2,FALSE)</f>
        <v>Spring</v>
      </c>
      <c r="R482" t="str">
        <f>TEXT(DATE(2026,E482,1),"mmmm")</f>
        <v>January</v>
      </c>
      <c r="S482" t="str">
        <f>IF(OR(H482=0,H482=6),"Weekend","Weekday")</f>
        <v>Weekend</v>
      </c>
      <c r="T482" s="1" t="str">
        <f>VLOOKUP(I482,[1]Lookup!$D$2:$E$5,2,FALSE)</f>
        <v>Mist / Cloudy</v>
      </c>
      <c r="U482" s="1" t="str">
        <f>IF(F482&lt;6,"Night",
IF(F482&lt;12,"Morning",
IF(F482&lt;17,"Afternoon",
IF(F482&lt;21,"Evening","Night"))))</f>
        <v>Night</v>
      </c>
      <c r="V482" s="1" t="str">
        <f>IF(J482&lt;0.3,"Cold",
IF(J482&lt;0.6,"Pleasant","Hot"))</f>
        <v>Cold</v>
      </c>
      <c r="W482" s="1" t="str">
        <f>IF(L482&lt;0.4,"Low",
IF(L482&lt;0.7,"Medium","High"))</f>
        <v>Medium</v>
      </c>
      <c r="X482" s="1" t="str">
        <f>IF(M482&lt;0.2,"Low",
IF(M482&lt;0.4,"Medium","High"))</f>
        <v>Medium</v>
      </c>
      <c r="Y482" s="1" t="str">
        <f>IF(P482&lt;100,"Low",
IF(P482&lt;300,"Medium","High"))</f>
        <v>Low</v>
      </c>
    </row>
    <row r="483" spans="1:25" x14ac:dyDescent="0.3">
      <c r="A483">
        <v>482</v>
      </c>
      <c r="B483" s="2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 t="str">
        <f>VLOOKUP(MasterData[[#This Row],[season]],[1]Lookup!$A$2:$B$5,2,FALSE)</f>
        <v>Spring</v>
      </c>
      <c r="R483" t="str">
        <f>TEXT(DATE(2026,E483,1),"mmmm")</f>
        <v>January</v>
      </c>
      <c r="S483" t="str">
        <f>IF(OR(H483=0,H483=6),"Weekend","Weekday")</f>
        <v>Weekend</v>
      </c>
      <c r="T483" s="1" t="str">
        <f>VLOOKUP(I483,[1]Lookup!$D$2:$E$5,2,FALSE)</f>
        <v>Mist / Cloudy</v>
      </c>
      <c r="U483" s="1" t="str">
        <f>IF(F483&lt;6,"Night",
IF(F483&lt;12,"Morning",
IF(F483&lt;17,"Afternoon",
IF(F483&lt;21,"Evening","Night"))))</f>
        <v>Night</v>
      </c>
      <c r="V483" s="1" t="str">
        <f>IF(J483&lt;0.3,"Cold",
IF(J483&lt;0.6,"Pleasant","Hot"))</f>
        <v>Cold</v>
      </c>
      <c r="W483" s="1" t="str">
        <f>IF(L483&lt;0.4,"Low",
IF(L483&lt;0.7,"Medium","High"))</f>
        <v>Medium</v>
      </c>
      <c r="X483" s="1" t="str">
        <f>IF(M483&lt;0.2,"Low",
IF(M483&lt;0.4,"Medium","High"))</f>
        <v>Medium</v>
      </c>
      <c r="Y483" s="1" t="str">
        <f>IF(P483&lt;100,"Low",
IF(P483&lt;300,"Medium","High"))</f>
        <v>Low</v>
      </c>
    </row>
    <row r="484" spans="1:25" x14ac:dyDescent="0.3">
      <c r="A484">
        <v>483</v>
      </c>
      <c r="B484" s="2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 t="str">
        <f>VLOOKUP(MasterData[[#This Row],[season]],[1]Lookup!$A$2:$B$5,2,FALSE)</f>
        <v>Spring</v>
      </c>
      <c r="R484" t="str">
        <f>TEXT(DATE(2026,E484,1),"mmmm")</f>
        <v>January</v>
      </c>
      <c r="S484" t="str">
        <f>IF(OR(H484=0,H484=6),"Weekend","Weekday")</f>
        <v>Weekend</v>
      </c>
      <c r="T484" s="1" t="str">
        <f>VLOOKUP(I484,[1]Lookup!$D$2:$E$5,2,FALSE)</f>
        <v>Mist / Cloudy</v>
      </c>
      <c r="U484" s="1" t="str">
        <f>IF(F484&lt;6,"Night",
IF(F484&lt;12,"Morning",
IF(F484&lt;17,"Afternoon",
IF(F484&lt;21,"Evening","Night"))))</f>
        <v>Night</v>
      </c>
      <c r="V484" s="1" t="str">
        <f>IF(J484&lt;0.3,"Cold",
IF(J484&lt;0.6,"Pleasant","Hot"))</f>
        <v>Cold</v>
      </c>
      <c r="W484" s="1" t="str">
        <f>IF(L484&lt;0.4,"Low",
IF(L484&lt;0.7,"Medium","High"))</f>
        <v>Medium</v>
      </c>
      <c r="X484" s="1" t="str">
        <f>IF(M484&lt;0.2,"Low",
IF(M484&lt;0.4,"Medium","High"))</f>
        <v>Medium</v>
      </c>
      <c r="Y484" s="1" t="str">
        <f>IF(P484&lt;100,"Low",
IF(P484&lt;300,"Medium","High"))</f>
        <v>Low</v>
      </c>
    </row>
    <row r="485" spans="1:25" x14ac:dyDescent="0.3">
      <c r="A485">
        <v>484</v>
      </c>
      <c r="B485" s="2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 t="str">
        <f>VLOOKUP(MasterData[[#This Row],[season]],[1]Lookup!$A$2:$B$5,2,FALSE)</f>
        <v>Spring</v>
      </c>
      <c r="R485" t="str">
        <f>TEXT(DATE(2026,E485,1),"mmmm")</f>
        <v>January</v>
      </c>
      <c r="S485" t="str">
        <f>IF(OR(H485=0,H485=6),"Weekend","Weekday")</f>
        <v>Weekend</v>
      </c>
      <c r="T485" s="1" t="str">
        <f>VLOOKUP(I485,[1]Lookup!$D$2:$E$5,2,FALSE)</f>
        <v>Mist / Cloudy</v>
      </c>
      <c r="U485" s="1" t="str">
        <f>IF(F485&lt;6,"Night",
IF(F485&lt;12,"Morning",
IF(F485&lt;17,"Afternoon",
IF(F485&lt;21,"Evening","Night"))))</f>
        <v>Night</v>
      </c>
      <c r="V485" s="1" t="str">
        <f>IF(J485&lt;0.3,"Cold",
IF(J485&lt;0.6,"Pleasant","Hot"))</f>
        <v>Cold</v>
      </c>
      <c r="W485" s="1" t="str">
        <f>IF(L485&lt;0.4,"Low",
IF(L485&lt;0.7,"Medium","High"))</f>
        <v>Medium</v>
      </c>
      <c r="X485" s="1" t="str">
        <f>IF(M485&lt;0.2,"Low",
IF(M485&lt;0.4,"Medium","High"))</f>
        <v>Medium</v>
      </c>
      <c r="Y485" s="1" t="str">
        <f>IF(P485&lt;100,"Low",
IF(P485&lt;300,"Medium","High"))</f>
        <v>Low</v>
      </c>
    </row>
    <row r="486" spans="1:25" x14ac:dyDescent="0.3">
      <c r="A486">
        <v>485</v>
      </c>
      <c r="B486" s="2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 t="str">
        <f>VLOOKUP(MasterData[[#This Row],[season]],[1]Lookup!$A$2:$B$5,2,FALSE)</f>
        <v>Spring</v>
      </c>
      <c r="R486" t="str">
        <f>TEXT(DATE(2026,E486,1),"mmmm")</f>
        <v>January</v>
      </c>
      <c r="S486" t="str">
        <f>IF(OR(H486=0,H486=6),"Weekend","Weekday")</f>
        <v>Weekend</v>
      </c>
      <c r="T486" s="1" t="str">
        <f>VLOOKUP(I486,[1]Lookup!$D$2:$E$5,2,FALSE)</f>
        <v>Mist / Cloudy</v>
      </c>
      <c r="U486" s="1" t="str">
        <f>IF(F486&lt;6,"Night",
IF(F486&lt;12,"Morning",
IF(F486&lt;17,"Afternoon",
IF(F486&lt;21,"Evening","Night"))))</f>
        <v>Morning</v>
      </c>
      <c r="V486" s="1" t="str">
        <f>IF(J486&lt;0.3,"Cold",
IF(J486&lt;0.6,"Pleasant","Hot"))</f>
        <v>Cold</v>
      </c>
      <c r="W486" s="1" t="str">
        <f>IF(L486&lt;0.4,"Low",
IF(L486&lt;0.7,"Medium","High"))</f>
        <v>Medium</v>
      </c>
      <c r="X486" s="1" t="str">
        <f>IF(M486&lt;0.2,"Low",
IF(M486&lt;0.4,"Medium","High"))</f>
        <v>Medium</v>
      </c>
      <c r="Y486" s="1" t="str">
        <f>IF(P486&lt;100,"Low",
IF(P486&lt;300,"Medium","High"))</f>
        <v>Low</v>
      </c>
    </row>
    <row r="487" spans="1:25" x14ac:dyDescent="0.3">
      <c r="A487">
        <v>486</v>
      </c>
      <c r="B487" s="2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 t="str">
        <f>VLOOKUP(MasterData[[#This Row],[season]],[1]Lookup!$A$2:$B$5,2,FALSE)</f>
        <v>Spring</v>
      </c>
      <c r="R487" t="str">
        <f>TEXT(DATE(2026,E487,1),"mmmm")</f>
        <v>January</v>
      </c>
      <c r="S487" t="str">
        <f>IF(OR(H487=0,H487=6),"Weekend","Weekday")</f>
        <v>Weekend</v>
      </c>
      <c r="T487" s="1" t="str">
        <f>VLOOKUP(I487,[1]Lookup!$D$2:$E$5,2,FALSE)</f>
        <v>Clear</v>
      </c>
      <c r="U487" s="1" t="str">
        <f>IF(F487&lt;6,"Night",
IF(F487&lt;12,"Morning",
IF(F487&lt;17,"Afternoon",
IF(F487&lt;21,"Evening","Night"))))</f>
        <v>Morning</v>
      </c>
      <c r="V487" s="1" t="str">
        <f>IF(J487&lt;0.3,"Cold",
IF(J487&lt;0.6,"Pleasant","Hot"))</f>
        <v>Cold</v>
      </c>
      <c r="W487" s="1" t="str">
        <f>IF(L487&lt;0.4,"Low",
IF(L487&lt;0.7,"Medium","High"))</f>
        <v>Medium</v>
      </c>
      <c r="X487" s="1" t="str">
        <f>IF(M487&lt;0.2,"Low",
IF(M487&lt;0.4,"Medium","High"))</f>
        <v>Medium</v>
      </c>
      <c r="Y487" s="1" t="str">
        <f>IF(P487&lt;100,"Low",
IF(P487&lt;300,"Medium","High"))</f>
        <v>Low</v>
      </c>
    </row>
    <row r="488" spans="1:25" x14ac:dyDescent="0.3">
      <c r="A488">
        <v>487</v>
      </c>
      <c r="B488" s="2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 t="str">
        <f>VLOOKUP(MasterData[[#This Row],[season]],[1]Lookup!$A$2:$B$5,2,FALSE)</f>
        <v>Spring</v>
      </c>
      <c r="R488" t="str">
        <f>TEXT(DATE(2026,E488,1),"mmmm")</f>
        <v>January</v>
      </c>
      <c r="S488" t="str">
        <f>IF(OR(H488=0,H488=6),"Weekend","Weekday")</f>
        <v>Weekend</v>
      </c>
      <c r="T488" s="1" t="str">
        <f>VLOOKUP(I488,[1]Lookup!$D$2:$E$5,2,FALSE)</f>
        <v>Clear</v>
      </c>
      <c r="U488" s="1" t="str">
        <f>IF(F488&lt;6,"Night",
IF(F488&lt;12,"Morning",
IF(F488&lt;17,"Afternoon",
IF(F488&lt;21,"Evening","Night"))))</f>
        <v>Morning</v>
      </c>
      <c r="V488" s="1" t="str">
        <f>IF(J488&lt;0.3,"Cold",
IF(J488&lt;0.6,"Pleasant","Hot"))</f>
        <v>Cold</v>
      </c>
      <c r="W488" s="1" t="str">
        <f>IF(L488&lt;0.4,"Low",
IF(L488&lt;0.7,"Medium","High"))</f>
        <v>Medium</v>
      </c>
      <c r="X488" s="1" t="str">
        <f>IF(M488&lt;0.2,"Low",
IF(M488&lt;0.4,"Medium","High"))</f>
        <v>Medium</v>
      </c>
      <c r="Y488" s="1" t="str">
        <f>IF(P488&lt;100,"Low",
IF(P488&lt;300,"Medium","High"))</f>
        <v>Low</v>
      </c>
    </row>
    <row r="489" spans="1:25" x14ac:dyDescent="0.3">
      <c r="A489">
        <v>488</v>
      </c>
      <c r="B489" s="2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 t="str">
        <f>VLOOKUP(MasterData[[#This Row],[season]],[1]Lookup!$A$2:$B$5,2,FALSE)</f>
        <v>Spring</v>
      </c>
      <c r="R489" t="str">
        <f>TEXT(DATE(2026,E489,1),"mmmm")</f>
        <v>January</v>
      </c>
      <c r="S489" t="str">
        <f>IF(OR(H489=0,H489=6),"Weekend","Weekday")</f>
        <v>Weekend</v>
      </c>
      <c r="T489" s="1" t="str">
        <f>VLOOKUP(I489,[1]Lookup!$D$2:$E$5,2,FALSE)</f>
        <v>Clear</v>
      </c>
      <c r="U489" s="1" t="str">
        <f>IF(F489&lt;6,"Night",
IF(F489&lt;12,"Morning",
IF(F489&lt;17,"Afternoon",
IF(F489&lt;21,"Evening","Night"))))</f>
        <v>Morning</v>
      </c>
      <c r="V489" s="1" t="str">
        <f>IF(J489&lt;0.3,"Cold",
IF(J489&lt;0.6,"Pleasant","Hot"))</f>
        <v>Cold</v>
      </c>
      <c r="W489" s="1" t="str">
        <f>IF(L489&lt;0.4,"Low",
IF(L489&lt;0.7,"Medium","High"))</f>
        <v>Medium</v>
      </c>
      <c r="X489" s="1" t="str">
        <f>IF(M489&lt;0.2,"Low",
IF(M489&lt;0.4,"Medium","High"))</f>
        <v>Medium</v>
      </c>
      <c r="Y489" s="1" t="str">
        <f>IF(P489&lt;100,"Low",
IF(P489&lt;300,"Medium","High"))</f>
        <v>Low</v>
      </c>
    </row>
    <row r="490" spans="1:25" x14ac:dyDescent="0.3">
      <c r="A490">
        <v>489</v>
      </c>
      <c r="B490" s="2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 t="str">
        <f>VLOOKUP(MasterData[[#This Row],[season]],[1]Lookup!$A$2:$B$5,2,FALSE)</f>
        <v>Spring</v>
      </c>
      <c r="R490" t="str">
        <f>TEXT(DATE(2026,E490,1),"mmmm")</f>
        <v>January</v>
      </c>
      <c r="S490" t="str">
        <f>IF(OR(H490=0,H490=6),"Weekend","Weekday")</f>
        <v>Weekend</v>
      </c>
      <c r="T490" s="1" t="str">
        <f>VLOOKUP(I490,[1]Lookup!$D$2:$E$5,2,FALSE)</f>
        <v>Mist / Cloudy</v>
      </c>
      <c r="U490" s="1" t="str">
        <f>IF(F490&lt;6,"Night",
IF(F490&lt;12,"Morning",
IF(F490&lt;17,"Afternoon",
IF(F490&lt;21,"Evening","Night"))))</f>
        <v>Morning</v>
      </c>
      <c r="V490" s="1" t="str">
        <f>IF(J490&lt;0.3,"Cold",
IF(J490&lt;0.6,"Pleasant","Hot"))</f>
        <v>Cold</v>
      </c>
      <c r="W490" s="1" t="str">
        <f>IF(L490&lt;0.4,"Low",
IF(L490&lt;0.7,"Medium","High"))</f>
        <v>Medium</v>
      </c>
      <c r="X490" s="1" t="str">
        <f>IF(M490&lt;0.2,"Low",
IF(M490&lt;0.4,"Medium","High"))</f>
        <v>Low</v>
      </c>
      <c r="Y490" s="1" t="str">
        <f>IF(P490&lt;100,"Low",
IF(P490&lt;300,"Medium","High"))</f>
        <v>Low</v>
      </c>
    </row>
    <row r="491" spans="1:25" x14ac:dyDescent="0.3">
      <c r="A491">
        <v>490</v>
      </c>
      <c r="B491" s="2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  <c r="Q491" t="str">
        <f>VLOOKUP(MasterData[[#This Row],[season]],[1]Lookup!$A$2:$B$5,2,FALSE)</f>
        <v>Spring</v>
      </c>
      <c r="R491" t="str">
        <f>TEXT(DATE(2026,E491,1),"mmmm")</f>
        <v>January</v>
      </c>
      <c r="S491" t="str">
        <f>IF(OR(H491=0,H491=6),"Weekend","Weekday")</f>
        <v>Weekend</v>
      </c>
      <c r="T491" s="1" t="str">
        <f>VLOOKUP(I491,[1]Lookup!$D$2:$E$5,2,FALSE)</f>
        <v>Mist / Cloudy</v>
      </c>
      <c r="U491" s="1" t="str">
        <f>IF(F491&lt;6,"Night",
IF(F491&lt;12,"Morning",
IF(F491&lt;17,"Afternoon",
IF(F491&lt;21,"Evening","Night"))))</f>
        <v>Morning</v>
      </c>
      <c r="V491" s="1" t="str">
        <f>IF(J491&lt;0.3,"Cold",
IF(J491&lt;0.6,"Pleasant","Hot"))</f>
        <v>Cold</v>
      </c>
      <c r="W491" s="1" t="str">
        <f>IF(L491&lt;0.4,"Low",
IF(L491&lt;0.7,"Medium","High"))</f>
        <v>Low</v>
      </c>
      <c r="X491" s="1" t="str">
        <f>IF(M491&lt;0.2,"Low",
IF(M491&lt;0.4,"Medium","High"))</f>
        <v>Low</v>
      </c>
      <c r="Y491" s="1" t="str">
        <f>IF(P491&lt;100,"Low",
IF(P491&lt;300,"Medium","High"))</f>
        <v>Low</v>
      </c>
    </row>
    <row r="492" spans="1:25" x14ac:dyDescent="0.3">
      <c r="A492">
        <v>491</v>
      </c>
      <c r="B492" s="2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  <c r="Q492" t="str">
        <f>VLOOKUP(MasterData[[#This Row],[season]],[1]Lookup!$A$2:$B$5,2,FALSE)</f>
        <v>Spring</v>
      </c>
      <c r="R492" t="str">
        <f>TEXT(DATE(2026,E492,1),"mmmm")</f>
        <v>January</v>
      </c>
      <c r="S492" t="str">
        <f>IF(OR(H492=0,H492=6),"Weekend","Weekday")</f>
        <v>Weekend</v>
      </c>
      <c r="T492" s="1" t="str">
        <f>VLOOKUP(I492,[1]Lookup!$D$2:$E$5,2,FALSE)</f>
        <v>Mist / Cloudy</v>
      </c>
      <c r="U492" s="1" t="str">
        <f>IF(F492&lt;6,"Night",
IF(F492&lt;12,"Morning",
IF(F492&lt;17,"Afternoon",
IF(F492&lt;21,"Evening","Night"))))</f>
        <v>Afternoon</v>
      </c>
      <c r="V492" s="1" t="str">
        <f>IF(J492&lt;0.3,"Cold",
IF(J492&lt;0.6,"Pleasant","Hot"))</f>
        <v>Cold</v>
      </c>
      <c r="W492" s="1" t="str">
        <f>IF(L492&lt;0.4,"Low",
IF(L492&lt;0.7,"Medium","High"))</f>
        <v>Low</v>
      </c>
      <c r="X492" s="1" t="str">
        <f>IF(M492&lt;0.2,"Low",
IF(M492&lt;0.4,"Medium","High"))</f>
        <v>Low</v>
      </c>
      <c r="Y492" s="1" t="str">
        <f>IF(P492&lt;100,"Low",
IF(P492&lt;300,"Medium","High"))</f>
        <v>Low</v>
      </c>
    </row>
    <row r="493" spans="1:25" x14ac:dyDescent="0.3">
      <c r="A493">
        <v>492</v>
      </c>
      <c r="B493" s="2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 t="str">
        <f>VLOOKUP(MasterData[[#This Row],[season]],[1]Lookup!$A$2:$B$5,2,FALSE)</f>
        <v>Spring</v>
      </c>
      <c r="R493" t="str">
        <f>TEXT(DATE(2026,E493,1),"mmmm")</f>
        <v>January</v>
      </c>
      <c r="S493" t="str">
        <f>IF(OR(H493=0,H493=6),"Weekend","Weekday")</f>
        <v>Weekend</v>
      </c>
      <c r="T493" s="1" t="str">
        <f>VLOOKUP(I493,[1]Lookup!$D$2:$E$5,2,FALSE)</f>
        <v>Clear</v>
      </c>
      <c r="U493" s="1" t="str">
        <f>IF(F493&lt;6,"Night",
IF(F493&lt;12,"Morning",
IF(F493&lt;17,"Afternoon",
IF(F493&lt;21,"Evening","Night"))))</f>
        <v>Afternoon</v>
      </c>
      <c r="V493" s="1" t="str">
        <f>IF(J493&lt;0.3,"Cold",
IF(J493&lt;0.6,"Pleasant","Hot"))</f>
        <v>Cold</v>
      </c>
      <c r="W493" s="1" t="str">
        <f>IF(L493&lt;0.4,"Low",
IF(L493&lt;0.7,"Medium","High"))</f>
        <v>Low</v>
      </c>
      <c r="X493" s="1" t="str">
        <f>IF(M493&lt;0.2,"Low",
IF(M493&lt;0.4,"Medium","High"))</f>
        <v>Low</v>
      </c>
      <c r="Y493" s="1" t="str">
        <f>IF(P493&lt;100,"Low",
IF(P493&lt;300,"Medium","High"))</f>
        <v>Low</v>
      </c>
    </row>
    <row r="494" spans="1:25" x14ac:dyDescent="0.3">
      <c r="A494">
        <v>493</v>
      </c>
      <c r="B494" s="2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  <c r="Q494" t="str">
        <f>VLOOKUP(MasterData[[#This Row],[season]],[1]Lookup!$A$2:$B$5,2,FALSE)</f>
        <v>Spring</v>
      </c>
      <c r="R494" t="str">
        <f>TEXT(DATE(2026,E494,1),"mmmm")</f>
        <v>January</v>
      </c>
      <c r="S494" t="str">
        <f>IF(OR(H494=0,H494=6),"Weekend","Weekday")</f>
        <v>Weekend</v>
      </c>
      <c r="T494" s="1" t="str">
        <f>VLOOKUP(I494,[1]Lookup!$D$2:$E$5,2,FALSE)</f>
        <v>Clear</v>
      </c>
      <c r="U494" s="1" t="str">
        <f>IF(F494&lt;6,"Night",
IF(F494&lt;12,"Morning",
IF(F494&lt;17,"Afternoon",
IF(F494&lt;21,"Evening","Night"))))</f>
        <v>Afternoon</v>
      </c>
      <c r="V494" s="1" t="str">
        <f>IF(J494&lt;0.3,"Cold",
IF(J494&lt;0.6,"Pleasant","Hot"))</f>
        <v>Cold</v>
      </c>
      <c r="W494" s="1" t="str">
        <f>IF(L494&lt;0.4,"Low",
IF(L494&lt;0.7,"Medium","High"))</f>
        <v>Low</v>
      </c>
      <c r="X494" s="1" t="str">
        <f>IF(M494&lt;0.2,"Low",
IF(M494&lt;0.4,"Medium","High"))</f>
        <v>Low</v>
      </c>
      <c r="Y494" s="1" t="str">
        <f>IF(P494&lt;100,"Low",
IF(P494&lt;300,"Medium","High"))</f>
        <v>Low</v>
      </c>
    </row>
    <row r="495" spans="1:25" x14ac:dyDescent="0.3">
      <c r="A495">
        <v>494</v>
      </c>
      <c r="B495" s="2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 t="str">
        <f>VLOOKUP(MasterData[[#This Row],[season]],[1]Lookup!$A$2:$B$5,2,FALSE)</f>
        <v>Spring</v>
      </c>
      <c r="R495" t="str">
        <f>TEXT(DATE(2026,E495,1),"mmmm")</f>
        <v>January</v>
      </c>
      <c r="S495" t="str">
        <f>IF(OR(H495=0,H495=6),"Weekend","Weekday")</f>
        <v>Weekend</v>
      </c>
      <c r="T495" s="1" t="str">
        <f>VLOOKUP(I495,[1]Lookup!$D$2:$E$5,2,FALSE)</f>
        <v>Clear</v>
      </c>
      <c r="U495" s="1" t="str">
        <f>IF(F495&lt;6,"Night",
IF(F495&lt;12,"Morning",
IF(F495&lt;17,"Afternoon",
IF(F495&lt;21,"Evening","Night"))))</f>
        <v>Afternoon</v>
      </c>
      <c r="V495" s="1" t="str">
        <f>IF(J495&lt;0.3,"Cold",
IF(J495&lt;0.6,"Pleasant","Hot"))</f>
        <v>Cold</v>
      </c>
      <c r="W495" s="1" t="str">
        <f>IF(L495&lt;0.4,"Low",
IF(L495&lt;0.7,"Medium","High"))</f>
        <v>Low</v>
      </c>
      <c r="X495" s="1" t="str">
        <f>IF(M495&lt;0.2,"Low",
IF(M495&lt;0.4,"Medium","High"))</f>
        <v>Low</v>
      </c>
      <c r="Y495" s="1" t="str">
        <f>IF(P495&lt;100,"Low",
IF(P495&lt;300,"Medium","High"))</f>
        <v>Medium</v>
      </c>
    </row>
    <row r="496" spans="1:25" x14ac:dyDescent="0.3">
      <c r="A496">
        <v>495</v>
      </c>
      <c r="B496" s="2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 t="str">
        <f>VLOOKUP(MasterData[[#This Row],[season]],[1]Lookup!$A$2:$B$5,2,FALSE)</f>
        <v>Spring</v>
      </c>
      <c r="R496" t="str">
        <f>TEXT(DATE(2026,E496,1),"mmmm")</f>
        <v>January</v>
      </c>
      <c r="S496" t="str">
        <f>IF(OR(H496=0,H496=6),"Weekend","Weekday")</f>
        <v>Weekend</v>
      </c>
      <c r="T496" s="1" t="str">
        <f>VLOOKUP(I496,[1]Lookup!$D$2:$E$5,2,FALSE)</f>
        <v>Clear</v>
      </c>
      <c r="U496" s="1" t="str">
        <f>IF(F496&lt;6,"Night",
IF(F496&lt;12,"Morning",
IF(F496&lt;17,"Afternoon",
IF(F496&lt;21,"Evening","Night"))))</f>
        <v>Afternoon</v>
      </c>
      <c r="V496" s="1" t="str">
        <f>IF(J496&lt;0.3,"Cold",
IF(J496&lt;0.6,"Pleasant","Hot"))</f>
        <v>Cold</v>
      </c>
      <c r="W496" s="1" t="str">
        <f>IF(L496&lt;0.4,"Low",
IF(L496&lt;0.7,"Medium","High"))</f>
        <v>Low</v>
      </c>
      <c r="X496" s="1" t="str">
        <f>IF(M496&lt;0.2,"Low",
IF(M496&lt;0.4,"Medium","High"))</f>
        <v>Low</v>
      </c>
      <c r="Y496" s="1" t="str">
        <f>IF(P496&lt;100,"Low",
IF(P496&lt;300,"Medium","High"))</f>
        <v>Low</v>
      </c>
    </row>
    <row r="497" spans="1:25" x14ac:dyDescent="0.3">
      <c r="A497">
        <v>496</v>
      </c>
      <c r="B497" s="2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 t="str">
        <f>VLOOKUP(MasterData[[#This Row],[season]],[1]Lookup!$A$2:$B$5,2,FALSE)</f>
        <v>Spring</v>
      </c>
      <c r="R497" t="str">
        <f>TEXT(DATE(2026,E497,1),"mmmm")</f>
        <v>January</v>
      </c>
      <c r="S497" t="str">
        <f>IF(OR(H497=0,H497=6),"Weekend","Weekday")</f>
        <v>Weekend</v>
      </c>
      <c r="T497" s="1" t="str">
        <f>VLOOKUP(I497,[1]Lookup!$D$2:$E$5,2,FALSE)</f>
        <v>Clear</v>
      </c>
      <c r="U497" s="1" t="str">
        <f>IF(F497&lt;6,"Night",
IF(F497&lt;12,"Morning",
IF(F497&lt;17,"Afternoon",
IF(F497&lt;21,"Evening","Night"))))</f>
        <v>Evening</v>
      </c>
      <c r="V497" s="1" t="str">
        <f>IF(J497&lt;0.3,"Cold",
IF(J497&lt;0.6,"Pleasant","Hot"))</f>
        <v>Cold</v>
      </c>
      <c r="W497" s="1" t="str">
        <f>IF(L497&lt;0.4,"Low",
IF(L497&lt;0.7,"Medium","High"))</f>
        <v>Low</v>
      </c>
      <c r="X497" s="1" t="str">
        <f>IF(M497&lt;0.2,"Low",
IF(M497&lt;0.4,"Medium","High"))</f>
        <v>Low</v>
      </c>
      <c r="Y497" s="1" t="str">
        <f>IF(P497&lt;100,"Low",
IF(P497&lt;300,"Medium","High"))</f>
        <v>Low</v>
      </c>
    </row>
    <row r="498" spans="1:25" x14ac:dyDescent="0.3">
      <c r="A498">
        <v>497</v>
      </c>
      <c r="B498" s="2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 t="str">
        <f>VLOOKUP(MasterData[[#This Row],[season]],[1]Lookup!$A$2:$B$5,2,FALSE)</f>
        <v>Spring</v>
      </c>
      <c r="R498" t="str">
        <f>TEXT(DATE(2026,E498,1),"mmmm")</f>
        <v>January</v>
      </c>
      <c r="S498" t="str">
        <f>IF(OR(H498=0,H498=6),"Weekend","Weekday")</f>
        <v>Weekend</v>
      </c>
      <c r="T498" s="1" t="str">
        <f>VLOOKUP(I498,[1]Lookup!$D$2:$E$5,2,FALSE)</f>
        <v>Clear</v>
      </c>
      <c r="U498" s="1" t="str">
        <f>IF(F498&lt;6,"Night",
IF(F498&lt;12,"Morning",
IF(F498&lt;17,"Afternoon",
IF(F498&lt;21,"Evening","Night"))))</f>
        <v>Evening</v>
      </c>
      <c r="V498" s="1" t="str">
        <f>IF(J498&lt;0.3,"Cold",
IF(J498&lt;0.6,"Pleasant","Hot"))</f>
        <v>Cold</v>
      </c>
      <c r="W498" s="1" t="str">
        <f>IF(L498&lt;0.4,"Low",
IF(L498&lt;0.7,"Medium","High"))</f>
        <v>Low</v>
      </c>
      <c r="X498" s="1" t="str">
        <f>IF(M498&lt;0.2,"Low",
IF(M498&lt;0.4,"Medium","High"))</f>
        <v>Low</v>
      </c>
      <c r="Y498" s="1" t="str">
        <f>IF(P498&lt;100,"Low",
IF(P498&lt;300,"Medium","High"))</f>
        <v>Low</v>
      </c>
    </row>
    <row r="499" spans="1:25" x14ac:dyDescent="0.3">
      <c r="A499">
        <v>498</v>
      </c>
      <c r="B499" s="2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  <c r="Q499" t="str">
        <f>VLOOKUP(MasterData[[#This Row],[season]],[1]Lookup!$A$2:$B$5,2,FALSE)</f>
        <v>Spring</v>
      </c>
      <c r="R499" t="str">
        <f>TEXT(DATE(2026,E499,1),"mmmm")</f>
        <v>January</v>
      </c>
      <c r="S499" t="str">
        <f>IF(OR(H499=0,H499=6),"Weekend","Weekday")</f>
        <v>Weekend</v>
      </c>
      <c r="T499" s="1" t="str">
        <f>VLOOKUP(I499,[1]Lookup!$D$2:$E$5,2,FALSE)</f>
        <v>Clear</v>
      </c>
      <c r="U499" s="1" t="str">
        <f>IF(F499&lt;6,"Night",
IF(F499&lt;12,"Morning",
IF(F499&lt;17,"Afternoon",
IF(F499&lt;21,"Evening","Night"))))</f>
        <v>Evening</v>
      </c>
      <c r="V499" s="1" t="str">
        <f>IF(J499&lt;0.3,"Cold",
IF(J499&lt;0.6,"Pleasant","Hot"))</f>
        <v>Cold</v>
      </c>
      <c r="W499" s="1" t="str">
        <f>IF(L499&lt;0.4,"Low",
IF(L499&lt;0.7,"Medium","High"))</f>
        <v>Low</v>
      </c>
      <c r="X499" s="1" t="str">
        <f>IF(M499&lt;0.2,"Low",
IF(M499&lt;0.4,"Medium","High"))</f>
        <v>Low</v>
      </c>
      <c r="Y499" s="1" t="str">
        <f>IF(P499&lt;100,"Low",
IF(P499&lt;300,"Medium","High"))</f>
        <v>Low</v>
      </c>
    </row>
    <row r="500" spans="1:25" x14ac:dyDescent="0.3">
      <c r="A500">
        <v>499</v>
      </c>
      <c r="B500" s="2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 t="str">
        <f>VLOOKUP(MasterData[[#This Row],[season]],[1]Lookup!$A$2:$B$5,2,FALSE)</f>
        <v>Spring</v>
      </c>
      <c r="R500" t="str">
        <f>TEXT(DATE(2026,E500,1),"mmmm")</f>
        <v>January</v>
      </c>
      <c r="S500" t="str">
        <f>IF(OR(H500=0,H500=6),"Weekend","Weekday")</f>
        <v>Weekend</v>
      </c>
      <c r="T500" s="1" t="str">
        <f>VLOOKUP(I500,[1]Lookup!$D$2:$E$5,2,FALSE)</f>
        <v>Clear</v>
      </c>
      <c r="U500" s="1" t="str">
        <f>IF(F500&lt;6,"Night",
IF(F500&lt;12,"Morning",
IF(F500&lt;17,"Afternoon",
IF(F500&lt;21,"Evening","Night"))))</f>
        <v>Evening</v>
      </c>
      <c r="V500" s="1" t="str">
        <f>IF(J500&lt;0.3,"Cold",
IF(J500&lt;0.6,"Pleasant","Hot"))</f>
        <v>Cold</v>
      </c>
      <c r="W500" s="1" t="str">
        <f>IF(L500&lt;0.4,"Low",
IF(L500&lt;0.7,"Medium","High"))</f>
        <v>Medium</v>
      </c>
      <c r="X500" s="1" t="str">
        <f>IF(M500&lt;0.2,"Low",
IF(M500&lt;0.4,"Medium","High"))</f>
        <v>Low</v>
      </c>
      <c r="Y500" s="1" t="str">
        <f>IF(P500&lt;100,"Low",
IF(P500&lt;300,"Medium","High"))</f>
        <v>Low</v>
      </c>
    </row>
    <row r="501" spans="1:25" x14ac:dyDescent="0.3">
      <c r="A501">
        <v>500</v>
      </c>
      <c r="B501" s="2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 t="str">
        <f>VLOOKUP(MasterData[[#This Row],[season]],[1]Lookup!$A$2:$B$5,2,FALSE)</f>
        <v>Spring</v>
      </c>
      <c r="R501" t="str">
        <f>TEXT(DATE(2026,E501,1),"mmmm")</f>
        <v>January</v>
      </c>
      <c r="S501" t="str">
        <f>IF(OR(H501=0,H501=6),"Weekend","Weekday")</f>
        <v>Weekend</v>
      </c>
      <c r="T501" s="1" t="str">
        <f>VLOOKUP(I501,[1]Lookup!$D$2:$E$5,2,FALSE)</f>
        <v>Clear</v>
      </c>
      <c r="U501" s="1" t="str">
        <f>IF(F501&lt;6,"Night",
IF(F501&lt;12,"Morning",
IF(F501&lt;17,"Afternoon",
IF(F501&lt;21,"Evening","Night"))))</f>
        <v>Night</v>
      </c>
      <c r="V501" s="1" t="str">
        <f>IF(J501&lt;0.3,"Cold",
IF(J501&lt;0.6,"Pleasant","Hot"))</f>
        <v>Cold</v>
      </c>
      <c r="W501" s="1" t="str">
        <f>IF(L501&lt;0.4,"Low",
IF(L501&lt;0.7,"Medium","High"))</f>
        <v>Medium</v>
      </c>
      <c r="X501" s="1" t="str">
        <f>IF(M501&lt;0.2,"Low",
IF(M501&lt;0.4,"Medium","High"))</f>
        <v>Low</v>
      </c>
      <c r="Y501" s="1" t="str">
        <f>IF(P501&lt;100,"Low",
IF(P501&lt;300,"Medium","High"))</f>
        <v>Low</v>
      </c>
    </row>
    <row r="502" spans="1:25" x14ac:dyDescent="0.3">
      <c r="A502">
        <v>501</v>
      </c>
      <c r="B502" s="2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  <c r="Q502" t="str">
        <f>VLOOKUP(MasterData[[#This Row],[season]],[1]Lookup!$A$2:$B$5,2,FALSE)</f>
        <v>Spring</v>
      </c>
      <c r="R502" t="str">
        <f>TEXT(DATE(2026,E502,1),"mmmm")</f>
        <v>January</v>
      </c>
      <c r="S502" t="str">
        <f>IF(OR(H502=0,H502=6),"Weekend","Weekday")</f>
        <v>Weekend</v>
      </c>
      <c r="T502" s="1" t="str">
        <f>VLOOKUP(I502,[1]Lookup!$D$2:$E$5,2,FALSE)</f>
        <v>Clear</v>
      </c>
      <c r="U502" s="1" t="str">
        <f>IF(F502&lt;6,"Night",
IF(F502&lt;12,"Morning",
IF(F502&lt;17,"Afternoon",
IF(F502&lt;21,"Evening","Night"))))</f>
        <v>Night</v>
      </c>
      <c r="V502" s="1" t="str">
        <f>IF(J502&lt;0.3,"Cold",
IF(J502&lt;0.6,"Pleasant","Hot"))</f>
        <v>Cold</v>
      </c>
      <c r="W502" s="1" t="str">
        <f>IF(L502&lt;0.4,"Low",
IF(L502&lt;0.7,"Medium","High"))</f>
        <v>Medium</v>
      </c>
      <c r="X502" s="1" t="str">
        <f>IF(M502&lt;0.2,"Low",
IF(M502&lt;0.4,"Medium","High"))</f>
        <v>Low</v>
      </c>
      <c r="Y502" s="1" t="str">
        <f>IF(P502&lt;100,"Low",
IF(P502&lt;300,"Medium","High"))</f>
        <v>Low</v>
      </c>
    </row>
    <row r="503" spans="1:25" x14ac:dyDescent="0.3">
      <c r="A503">
        <v>502</v>
      </c>
      <c r="B503" s="2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 t="str">
        <f>VLOOKUP(MasterData[[#This Row],[season]],[1]Lookup!$A$2:$B$5,2,FALSE)</f>
        <v>Spring</v>
      </c>
      <c r="R503" t="str">
        <f>TEXT(DATE(2026,E503,1),"mmmm")</f>
        <v>January</v>
      </c>
      <c r="S503" t="str">
        <f>IF(OR(H503=0,H503=6),"Weekend","Weekday")</f>
        <v>Weekend</v>
      </c>
      <c r="T503" s="1" t="str">
        <f>VLOOKUP(I503,[1]Lookup!$D$2:$E$5,2,FALSE)</f>
        <v>Clear</v>
      </c>
      <c r="U503" s="1" t="str">
        <f>IF(F503&lt;6,"Night",
IF(F503&lt;12,"Morning",
IF(F503&lt;17,"Afternoon",
IF(F503&lt;21,"Evening","Night"))))</f>
        <v>Night</v>
      </c>
      <c r="V503" s="1" t="str">
        <f>IF(J503&lt;0.3,"Cold",
IF(J503&lt;0.6,"Pleasant","Hot"))</f>
        <v>Cold</v>
      </c>
      <c r="W503" s="1" t="str">
        <f>IF(L503&lt;0.4,"Low",
IF(L503&lt;0.7,"Medium","High"))</f>
        <v>Medium</v>
      </c>
      <c r="X503" s="1" t="str">
        <f>IF(M503&lt;0.2,"Low",
IF(M503&lt;0.4,"Medium","High"))</f>
        <v>Low</v>
      </c>
      <c r="Y503" s="1" t="str">
        <f>IF(P503&lt;100,"Low",
IF(P503&lt;300,"Medium","High"))</f>
        <v>Low</v>
      </c>
    </row>
    <row r="504" spans="1:25" x14ac:dyDescent="0.3">
      <c r="A504">
        <v>503</v>
      </c>
      <c r="B504" s="2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 t="str">
        <f>VLOOKUP(MasterData[[#This Row],[season]],[1]Lookup!$A$2:$B$5,2,FALSE)</f>
        <v>Spring</v>
      </c>
      <c r="R504" t="str">
        <f>TEXT(DATE(2026,E504,1),"mmmm")</f>
        <v>January</v>
      </c>
      <c r="S504" t="str">
        <f>IF(OR(H504=0,H504=6),"Weekend","Weekday")</f>
        <v>Weekend</v>
      </c>
      <c r="T504" s="1" t="str">
        <f>VLOOKUP(I504,[1]Lookup!$D$2:$E$5,2,FALSE)</f>
        <v>Clear</v>
      </c>
      <c r="U504" s="1" t="str">
        <f>IF(F504&lt;6,"Night",
IF(F504&lt;12,"Morning",
IF(F504&lt;17,"Afternoon",
IF(F504&lt;21,"Evening","Night"))))</f>
        <v>Night</v>
      </c>
      <c r="V504" s="1" t="str">
        <f>IF(J504&lt;0.3,"Cold",
IF(J504&lt;0.6,"Pleasant","Hot"))</f>
        <v>Cold</v>
      </c>
      <c r="W504" s="1" t="str">
        <f>IF(L504&lt;0.4,"Low",
IF(L504&lt;0.7,"Medium","High"))</f>
        <v>Medium</v>
      </c>
      <c r="X504" s="1" t="str">
        <f>IF(M504&lt;0.2,"Low",
IF(M504&lt;0.4,"Medium","High"))</f>
        <v>Low</v>
      </c>
      <c r="Y504" s="1" t="str">
        <f>IF(P504&lt;100,"Low",
IF(P504&lt;300,"Medium","High"))</f>
        <v>Low</v>
      </c>
    </row>
    <row r="505" spans="1:25" x14ac:dyDescent="0.3">
      <c r="A505">
        <v>504</v>
      </c>
      <c r="B505" s="2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 t="str">
        <f>VLOOKUP(MasterData[[#This Row],[season]],[1]Lookup!$A$2:$B$5,2,FALSE)</f>
        <v>Spring</v>
      </c>
      <c r="R505" t="str">
        <f>TEXT(DATE(2026,E505,1),"mmmm")</f>
        <v>January</v>
      </c>
      <c r="S505" t="str">
        <f>IF(OR(H505=0,H505=6),"Weekend","Weekday")</f>
        <v>Weekend</v>
      </c>
      <c r="T505" s="1" t="str">
        <f>VLOOKUP(I505,[1]Lookup!$D$2:$E$5,2,FALSE)</f>
        <v>Clear</v>
      </c>
      <c r="U505" s="1" t="str">
        <f>IF(F505&lt;6,"Night",
IF(F505&lt;12,"Morning",
IF(F505&lt;17,"Afternoon",
IF(F505&lt;21,"Evening","Night"))))</f>
        <v>Night</v>
      </c>
      <c r="V505" s="1" t="str">
        <f>IF(J505&lt;0.3,"Cold",
IF(J505&lt;0.6,"Pleasant","Hot"))</f>
        <v>Cold</v>
      </c>
      <c r="W505" s="1" t="str">
        <f>IF(L505&lt;0.4,"Low",
IF(L505&lt;0.7,"Medium","High"))</f>
        <v>Medium</v>
      </c>
      <c r="X505" s="1" t="str">
        <f>IF(M505&lt;0.2,"Low",
IF(M505&lt;0.4,"Medium","High"))</f>
        <v>Low</v>
      </c>
      <c r="Y505" s="1" t="str">
        <f>IF(P505&lt;100,"Low",
IF(P505&lt;300,"Medium","High"))</f>
        <v>Low</v>
      </c>
    </row>
    <row r="506" spans="1:25" x14ac:dyDescent="0.3">
      <c r="A506">
        <v>505</v>
      </c>
      <c r="B506" s="2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 t="str">
        <f>VLOOKUP(MasterData[[#This Row],[season]],[1]Lookup!$A$2:$B$5,2,FALSE)</f>
        <v>Spring</v>
      </c>
      <c r="R506" t="str">
        <f>TEXT(DATE(2026,E506,1),"mmmm")</f>
        <v>January</v>
      </c>
      <c r="S506" t="str">
        <f>IF(OR(H506=0,H506=6),"Weekend","Weekday")</f>
        <v>Weekend</v>
      </c>
      <c r="T506" s="1" t="str">
        <f>VLOOKUP(I506,[1]Lookup!$D$2:$E$5,2,FALSE)</f>
        <v>Clear</v>
      </c>
      <c r="U506" s="1" t="str">
        <f>IF(F506&lt;6,"Night",
IF(F506&lt;12,"Morning",
IF(F506&lt;17,"Afternoon",
IF(F506&lt;21,"Evening","Night"))))</f>
        <v>Night</v>
      </c>
      <c r="V506" s="1" t="str">
        <f>IF(J506&lt;0.3,"Cold",
IF(J506&lt;0.6,"Pleasant","Hot"))</f>
        <v>Cold</v>
      </c>
      <c r="W506" s="1" t="str">
        <f>IF(L506&lt;0.4,"Low",
IF(L506&lt;0.7,"Medium","High"))</f>
        <v>Medium</v>
      </c>
      <c r="X506" s="1" t="str">
        <f>IF(M506&lt;0.2,"Low",
IF(M506&lt;0.4,"Medium","High"))</f>
        <v>Low</v>
      </c>
      <c r="Y506" s="1" t="str">
        <f>IF(P506&lt;100,"Low",
IF(P506&lt;300,"Medium","High"))</f>
        <v>Low</v>
      </c>
    </row>
    <row r="507" spans="1:25" x14ac:dyDescent="0.3">
      <c r="A507">
        <v>506</v>
      </c>
      <c r="B507" s="2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  <c r="Q507" t="str">
        <f>VLOOKUP(MasterData[[#This Row],[season]],[1]Lookup!$A$2:$B$5,2,FALSE)</f>
        <v>Spring</v>
      </c>
      <c r="R507" t="str">
        <f>TEXT(DATE(2026,E507,1),"mmmm")</f>
        <v>January</v>
      </c>
      <c r="S507" t="str">
        <f>IF(OR(H507=0,H507=6),"Weekend","Weekday")</f>
        <v>Weekend</v>
      </c>
      <c r="T507" s="1" t="str">
        <f>VLOOKUP(I507,[1]Lookup!$D$2:$E$5,2,FALSE)</f>
        <v>Clear</v>
      </c>
      <c r="U507" s="1" t="str">
        <f>IF(F507&lt;6,"Night",
IF(F507&lt;12,"Morning",
IF(F507&lt;17,"Afternoon",
IF(F507&lt;21,"Evening","Night"))))</f>
        <v>Night</v>
      </c>
      <c r="V507" s="1" t="str">
        <f>IF(J507&lt;0.3,"Cold",
IF(J507&lt;0.6,"Pleasant","Hot"))</f>
        <v>Cold</v>
      </c>
      <c r="W507" s="1" t="str">
        <f>IF(L507&lt;0.4,"Low",
IF(L507&lt;0.7,"Medium","High"))</f>
        <v>Medium</v>
      </c>
      <c r="X507" s="1" t="str">
        <f>IF(M507&lt;0.2,"Low",
IF(M507&lt;0.4,"Medium","High"))</f>
        <v>Low</v>
      </c>
      <c r="Y507" s="1" t="str">
        <f>IF(P507&lt;100,"Low",
IF(P507&lt;300,"Medium","High"))</f>
        <v>Low</v>
      </c>
    </row>
    <row r="508" spans="1:25" x14ac:dyDescent="0.3">
      <c r="A508">
        <v>507</v>
      </c>
      <c r="B508" s="2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 t="str">
        <f>VLOOKUP(MasterData[[#This Row],[season]],[1]Lookup!$A$2:$B$5,2,FALSE)</f>
        <v>Spring</v>
      </c>
      <c r="R508" t="str">
        <f>TEXT(DATE(2026,E508,1),"mmmm")</f>
        <v>January</v>
      </c>
      <c r="S508" t="str">
        <f>IF(OR(H508=0,H508=6),"Weekend","Weekday")</f>
        <v>Weekend</v>
      </c>
      <c r="T508" s="1" t="str">
        <f>VLOOKUP(I508,[1]Lookup!$D$2:$E$5,2,FALSE)</f>
        <v>Mist / Cloudy</v>
      </c>
      <c r="U508" s="1" t="str">
        <f>IF(F508&lt;6,"Night",
IF(F508&lt;12,"Morning",
IF(F508&lt;17,"Afternoon",
IF(F508&lt;21,"Evening","Night"))))</f>
        <v>Night</v>
      </c>
      <c r="V508" s="1" t="str">
        <f>IF(J508&lt;0.3,"Cold",
IF(J508&lt;0.6,"Pleasant","Hot"))</f>
        <v>Cold</v>
      </c>
      <c r="W508" s="1" t="str">
        <f>IF(L508&lt;0.4,"Low",
IF(L508&lt;0.7,"Medium","High"))</f>
        <v>Medium</v>
      </c>
      <c r="X508" s="1" t="str">
        <f>IF(M508&lt;0.2,"Low",
IF(M508&lt;0.4,"Medium","High"))</f>
        <v>Low</v>
      </c>
      <c r="Y508" s="1" t="str">
        <f>IF(P508&lt;100,"Low",
IF(P508&lt;300,"Medium","High"))</f>
        <v>Low</v>
      </c>
    </row>
    <row r="509" spans="1:25" x14ac:dyDescent="0.3">
      <c r="A509">
        <v>508</v>
      </c>
      <c r="B509" s="2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 t="str">
        <f>VLOOKUP(MasterData[[#This Row],[season]],[1]Lookup!$A$2:$B$5,2,FALSE)</f>
        <v>Spring</v>
      </c>
      <c r="R509" t="str">
        <f>TEXT(DATE(2026,E509,1),"mmmm")</f>
        <v>January</v>
      </c>
      <c r="S509" t="str">
        <f>IF(OR(H509=0,H509=6),"Weekend","Weekday")</f>
        <v>Weekend</v>
      </c>
      <c r="T509" s="1" t="str">
        <f>VLOOKUP(I509,[1]Lookup!$D$2:$E$5,2,FALSE)</f>
        <v>Mist / Cloudy</v>
      </c>
      <c r="U509" s="1" t="str">
        <f>IF(F509&lt;6,"Night",
IF(F509&lt;12,"Morning",
IF(F509&lt;17,"Afternoon",
IF(F509&lt;21,"Evening","Night"))))</f>
        <v>Morning</v>
      </c>
      <c r="V509" s="1" t="str">
        <f>IF(J509&lt;0.3,"Cold",
IF(J509&lt;0.6,"Pleasant","Hot"))</f>
        <v>Cold</v>
      </c>
      <c r="W509" s="1" t="str">
        <f>IF(L509&lt;0.4,"Low",
IF(L509&lt;0.7,"Medium","High"))</f>
        <v>Medium</v>
      </c>
      <c r="X509" s="1" t="str">
        <f>IF(M509&lt;0.2,"Low",
IF(M509&lt;0.4,"Medium","High"))</f>
        <v>Low</v>
      </c>
      <c r="Y509" s="1" t="str">
        <f>IF(P509&lt;100,"Low",
IF(P509&lt;300,"Medium","High"))</f>
        <v>Low</v>
      </c>
    </row>
    <row r="510" spans="1:25" x14ac:dyDescent="0.3">
      <c r="A510">
        <v>509</v>
      </c>
      <c r="B510" s="2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 t="str">
        <f>VLOOKUP(MasterData[[#This Row],[season]],[1]Lookup!$A$2:$B$5,2,FALSE)</f>
        <v>Spring</v>
      </c>
      <c r="R510" t="str">
        <f>TEXT(DATE(2026,E510,1),"mmmm")</f>
        <v>January</v>
      </c>
      <c r="S510" t="str">
        <f>IF(OR(H510=0,H510=6),"Weekend","Weekday")</f>
        <v>Weekend</v>
      </c>
      <c r="T510" s="1" t="str">
        <f>VLOOKUP(I510,[1]Lookup!$D$2:$E$5,2,FALSE)</f>
        <v>Clear</v>
      </c>
      <c r="U510" s="1" t="str">
        <f>IF(F510&lt;6,"Night",
IF(F510&lt;12,"Morning",
IF(F510&lt;17,"Afternoon",
IF(F510&lt;21,"Evening","Night"))))</f>
        <v>Morning</v>
      </c>
      <c r="V510" s="1" t="str">
        <f>IF(J510&lt;0.3,"Cold",
IF(J510&lt;0.6,"Pleasant","Hot"))</f>
        <v>Cold</v>
      </c>
      <c r="W510" s="1" t="str">
        <f>IF(L510&lt;0.4,"Low",
IF(L510&lt;0.7,"Medium","High"))</f>
        <v>Medium</v>
      </c>
      <c r="X510" s="1" t="str">
        <f>IF(M510&lt;0.2,"Low",
IF(M510&lt;0.4,"Medium","High"))</f>
        <v>Low</v>
      </c>
      <c r="Y510" s="1" t="str">
        <f>IF(P510&lt;100,"Low",
IF(P510&lt;300,"Medium","High"))</f>
        <v>Low</v>
      </c>
    </row>
    <row r="511" spans="1:25" x14ac:dyDescent="0.3">
      <c r="A511">
        <v>510</v>
      </c>
      <c r="B511" s="2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 t="str">
        <f>VLOOKUP(MasterData[[#This Row],[season]],[1]Lookup!$A$2:$B$5,2,FALSE)</f>
        <v>Spring</v>
      </c>
      <c r="R511" t="str">
        <f>TEXT(DATE(2026,E511,1),"mmmm")</f>
        <v>January</v>
      </c>
      <c r="S511" t="str">
        <f>IF(OR(H511=0,H511=6),"Weekend","Weekday")</f>
        <v>Weekend</v>
      </c>
      <c r="T511" s="1" t="str">
        <f>VLOOKUP(I511,[1]Lookup!$D$2:$E$5,2,FALSE)</f>
        <v>Clear</v>
      </c>
      <c r="U511" s="1" t="str">
        <f>IF(F511&lt;6,"Night",
IF(F511&lt;12,"Morning",
IF(F511&lt;17,"Afternoon",
IF(F511&lt;21,"Evening","Night"))))</f>
        <v>Morning</v>
      </c>
      <c r="V511" s="1" t="str">
        <f>IF(J511&lt;0.3,"Cold",
IF(J511&lt;0.6,"Pleasant","Hot"))</f>
        <v>Cold</v>
      </c>
      <c r="W511" s="1" t="str">
        <f>IF(L511&lt;0.4,"Low",
IF(L511&lt;0.7,"Medium","High"))</f>
        <v>Medium</v>
      </c>
      <c r="X511" s="1" t="str">
        <f>IF(M511&lt;0.2,"Low",
IF(M511&lt;0.4,"Medium","High"))</f>
        <v>Low</v>
      </c>
      <c r="Y511" s="1" t="str">
        <f>IF(P511&lt;100,"Low",
IF(P511&lt;300,"Medium","High"))</f>
        <v>Low</v>
      </c>
    </row>
    <row r="512" spans="1:25" x14ac:dyDescent="0.3">
      <c r="A512">
        <v>511</v>
      </c>
      <c r="B512" s="2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 t="str">
        <f>VLOOKUP(MasterData[[#This Row],[season]],[1]Lookup!$A$2:$B$5,2,FALSE)</f>
        <v>Spring</v>
      </c>
      <c r="R512" t="str">
        <f>TEXT(DATE(2026,E512,1),"mmmm")</f>
        <v>January</v>
      </c>
      <c r="S512" t="str">
        <f>IF(OR(H512=0,H512=6),"Weekend","Weekday")</f>
        <v>Weekend</v>
      </c>
      <c r="T512" s="1" t="str">
        <f>VLOOKUP(I512,[1]Lookup!$D$2:$E$5,2,FALSE)</f>
        <v>Clear</v>
      </c>
      <c r="U512" s="1" t="str">
        <f>IF(F512&lt;6,"Night",
IF(F512&lt;12,"Morning",
IF(F512&lt;17,"Afternoon",
IF(F512&lt;21,"Evening","Night"))))</f>
        <v>Morning</v>
      </c>
      <c r="V512" s="1" t="str">
        <f>IF(J512&lt;0.3,"Cold",
IF(J512&lt;0.6,"Pleasant","Hot"))</f>
        <v>Cold</v>
      </c>
      <c r="W512" s="1" t="str">
        <f>IF(L512&lt;0.4,"Low",
IF(L512&lt;0.7,"Medium","High"))</f>
        <v>Medium</v>
      </c>
      <c r="X512" s="1" t="str">
        <f>IF(M512&lt;0.2,"Low",
IF(M512&lt;0.4,"Medium","High"))</f>
        <v>Medium</v>
      </c>
      <c r="Y512" s="1" t="str">
        <f>IF(P512&lt;100,"Low",
IF(P512&lt;300,"Medium","High"))</f>
        <v>Low</v>
      </c>
    </row>
    <row r="513" spans="1:25" x14ac:dyDescent="0.3">
      <c r="A513">
        <v>512</v>
      </c>
      <c r="B513" s="2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  <c r="Q513" t="str">
        <f>VLOOKUP(MasterData[[#This Row],[season]],[1]Lookup!$A$2:$B$5,2,FALSE)</f>
        <v>Spring</v>
      </c>
      <c r="R513" t="str">
        <f>TEXT(DATE(2026,E513,1),"mmmm")</f>
        <v>January</v>
      </c>
      <c r="S513" t="str">
        <f>IF(OR(H513=0,H513=6),"Weekend","Weekday")</f>
        <v>Weekend</v>
      </c>
      <c r="T513" s="1" t="str">
        <f>VLOOKUP(I513,[1]Lookup!$D$2:$E$5,2,FALSE)</f>
        <v>Clear</v>
      </c>
      <c r="U513" s="1" t="str">
        <f>IF(F513&lt;6,"Night",
IF(F513&lt;12,"Morning",
IF(F513&lt;17,"Afternoon",
IF(F513&lt;21,"Evening","Night"))))</f>
        <v>Morning</v>
      </c>
      <c r="V513" s="1" t="str">
        <f>IF(J513&lt;0.3,"Cold",
IF(J513&lt;0.6,"Pleasant","Hot"))</f>
        <v>Cold</v>
      </c>
      <c r="W513" s="1" t="str">
        <f>IF(L513&lt;0.4,"Low",
IF(L513&lt;0.7,"Medium","High"))</f>
        <v>Medium</v>
      </c>
      <c r="X513" s="1" t="str">
        <f>IF(M513&lt;0.2,"Low",
IF(M513&lt;0.4,"Medium","High"))</f>
        <v>Medium</v>
      </c>
      <c r="Y513" s="1" t="str">
        <f>IF(P513&lt;100,"Low",
IF(P513&lt;300,"Medium","High"))</f>
        <v>Low</v>
      </c>
    </row>
    <row r="514" spans="1:25" x14ac:dyDescent="0.3">
      <c r="A514">
        <v>513</v>
      </c>
      <c r="B514" s="2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 t="str">
        <f>VLOOKUP(MasterData[[#This Row],[season]],[1]Lookup!$A$2:$B$5,2,FALSE)</f>
        <v>Spring</v>
      </c>
      <c r="R514" t="str">
        <f>TEXT(DATE(2026,E514,1),"mmmm")</f>
        <v>January</v>
      </c>
      <c r="S514" t="str">
        <f>IF(OR(H514=0,H514=6),"Weekend","Weekday")</f>
        <v>Weekend</v>
      </c>
      <c r="T514" s="1" t="str">
        <f>VLOOKUP(I514,[1]Lookup!$D$2:$E$5,2,FALSE)</f>
        <v>Clear</v>
      </c>
      <c r="U514" s="1" t="str">
        <f>IF(F514&lt;6,"Night",
IF(F514&lt;12,"Morning",
IF(F514&lt;17,"Afternoon",
IF(F514&lt;21,"Evening","Night"))))</f>
        <v>Morning</v>
      </c>
      <c r="V514" s="1" t="str">
        <f>IF(J514&lt;0.3,"Cold",
IF(J514&lt;0.6,"Pleasant","Hot"))</f>
        <v>Cold</v>
      </c>
      <c r="W514" s="1" t="str">
        <f>IF(L514&lt;0.4,"Low",
IF(L514&lt;0.7,"Medium","High"))</f>
        <v>Medium</v>
      </c>
      <c r="X514" s="1" t="str">
        <f>IF(M514&lt;0.2,"Low",
IF(M514&lt;0.4,"Medium","High"))</f>
        <v>Medium</v>
      </c>
      <c r="Y514" s="1" t="str">
        <f>IF(P514&lt;100,"Low",
IF(P514&lt;300,"Medium","High"))</f>
        <v>Low</v>
      </c>
    </row>
    <row r="515" spans="1:25" x14ac:dyDescent="0.3">
      <c r="A515">
        <v>514</v>
      </c>
      <c r="B515" s="2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 t="str">
        <f>VLOOKUP(MasterData[[#This Row],[season]],[1]Lookup!$A$2:$B$5,2,FALSE)</f>
        <v>Spring</v>
      </c>
      <c r="R515" t="str">
        <f>TEXT(DATE(2026,E515,1),"mmmm")</f>
        <v>January</v>
      </c>
      <c r="S515" t="str">
        <f>IF(OR(H515=0,H515=6),"Weekend","Weekday")</f>
        <v>Weekend</v>
      </c>
      <c r="T515" s="1" t="str">
        <f>VLOOKUP(I515,[1]Lookup!$D$2:$E$5,2,FALSE)</f>
        <v>Clear</v>
      </c>
      <c r="U515" s="1" t="str">
        <f>IF(F515&lt;6,"Night",
IF(F515&lt;12,"Morning",
IF(F515&lt;17,"Afternoon",
IF(F515&lt;21,"Evening","Night"))))</f>
        <v>Afternoon</v>
      </c>
      <c r="V515" s="1" t="str">
        <f>IF(J515&lt;0.3,"Cold",
IF(J515&lt;0.6,"Pleasant","Hot"))</f>
        <v>Cold</v>
      </c>
      <c r="W515" s="1" t="str">
        <f>IF(L515&lt;0.4,"Low",
IF(L515&lt;0.7,"Medium","High"))</f>
        <v>Low</v>
      </c>
      <c r="X515" s="1" t="str">
        <f>IF(M515&lt;0.2,"Low",
IF(M515&lt;0.4,"Medium","High"))</f>
        <v>High</v>
      </c>
      <c r="Y515" s="1" t="str">
        <f>IF(P515&lt;100,"Low",
IF(P515&lt;300,"Medium","High"))</f>
        <v>Medium</v>
      </c>
    </row>
    <row r="516" spans="1:25" x14ac:dyDescent="0.3">
      <c r="A516">
        <v>515</v>
      </c>
      <c r="B516" s="2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  <c r="Q516" t="str">
        <f>VLOOKUP(MasterData[[#This Row],[season]],[1]Lookup!$A$2:$B$5,2,FALSE)</f>
        <v>Spring</v>
      </c>
      <c r="R516" t="str">
        <f>TEXT(DATE(2026,E516,1),"mmmm")</f>
        <v>January</v>
      </c>
      <c r="S516" t="str">
        <f>IF(OR(H516=0,H516=6),"Weekend","Weekday")</f>
        <v>Weekend</v>
      </c>
      <c r="T516" s="1" t="str">
        <f>VLOOKUP(I516,[1]Lookup!$D$2:$E$5,2,FALSE)</f>
        <v>Clear</v>
      </c>
      <c r="U516" s="1" t="str">
        <f>IF(F516&lt;6,"Night",
IF(F516&lt;12,"Morning",
IF(F516&lt;17,"Afternoon",
IF(F516&lt;21,"Evening","Night"))))</f>
        <v>Afternoon</v>
      </c>
      <c r="V516" s="1" t="str">
        <f>IF(J516&lt;0.3,"Cold",
IF(J516&lt;0.6,"Pleasant","Hot"))</f>
        <v>Cold</v>
      </c>
      <c r="W516" s="1" t="str">
        <f>IF(L516&lt;0.4,"Low",
IF(L516&lt;0.7,"Medium","High"))</f>
        <v>Low</v>
      </c>
      <c r="X516" s="1" t="str">
        <f>IF(M516&lt;0.2,"Low",
IF(M516&lt;0.4,"Medium","High"))</f>
        <v>Medium</v>
      </c>
      <c r="Y516" s="1" t="str">
        <f>IF(P516&lt;100,"Low",
IF(P516&lt;300,"Medium","High"))</f>
        <v>Low</v>
      </c>
    </row>
    <row r="517" spans="1:25" x14ac:dyDescent="0.3">
      <c r="A517">
        <v>516</v>
      </c>
      <c r="B517" s="2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 t="str">
        <f>VLOOKUP(MasterData[[#This Row],[season]],[1]Lookup!$A$2:$B$5,2,FALSE)</f>
        <v>Spring</v>
      </c>
      <c r="R517" t="str">
        <f>TEXT(DATE(2026,E517,1),"mmmm")</f>
        <v>January</v>
      </c>
      <c r="S517" t="str">
        <f>IF(OR(H517=0,H517=6),"Weekend","Weekday")</f>
        <v>Weekend</v>
      </c>
      <c r="T517" s="1" t="str">
        <f>VLOOKUP(I517,[1]Lookup!$D$2:$E$5,2,FALSE)</f>
        <v>Clear</v>
      </c>
      <c r="U517" s="1" t="str">
        <f>IF(F517&lt;6,"Night",
IF(F517&lt;12,"Morning",
IF(F517&lt;17,"Afternoon",
IF(F517&lt;21,"Evening","Night"))))</f>
        <v>Afternoon</v>
      </c>
      <c r="V517" s="1" t="str">
        <f>IF(J517&lt;0.3,"Cold",
IF(J517&lt;0.6,"Pleasant","Hot"))</f>
        <v>Cold</v>
      </c>
      <c r="W517" s="1" t="str">
        <f>IF(L517&lt;0.4,"Low",
IF(L517&lt;0.7,"Medium","High"))</f>
        <v>Low</v>
      </c>
      <c r="X517" s="1" t="str">
        <f>IF(M517&lt;0.2,"Low",
IF(M517&lt;0.4,"Medium","High"))</f>
        <v>Medium</v>
      </c>
      <c r="Y517" s="1" t="str">
        <f>IF(P517&lt;100,"Low",
IF(P517&lt;300,"Medium","High"))</f>
        <v>Medium</v>
      </c>
    </row>
    <row r="518" spans="1:25" x14ac:dyDescent="0.3">
      <c r="A518">
        <v>517</v>
      </c>
      <c r="B518" s="2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 t="str">
        <f>VLOOKUP(MasterData[[#This Row],[season]],[1]Lookup!$A$2:$B$5,2,FALSE)</f>
        <v>Spring</v>
      </c>
      <c r="R518" t="str">
        <f>TEXT(DATE(2026,E518,1),"mmmm")</f>
        <v>January</v>
      </c>
      <c r="S518" t="str">
        <f>IF(OR(H518=0,H518=6),"Weekend","Weekday")</f>
        <v>Weekend</v>
      </c>
      <c r="T518" s="1" t="str">
        <f>VLOOKUP(I518,[1]Lookup!$D$2:$E$5,2,FALSE)</f>
        <v>Clear</v>
      </c>
      <c r="U518" s="1" t="str">
        <f>IF(F518&lt;6,"Night",
IF(F518&lt;12,"Morning",
IF(F518&lt;17,"Afternoon",
IF(F518&lt;21,"Evening","Night"))))</f>
        <v>Afternoon</v>
      </c>
      <c r="V518" s="1" t="str">
        <f>IF(J518&lt;0.3,"Cold",
IF(J518&lt;0.6,"Pleasant","Hot"))</f>
        <v>Cold</v>
      </c>
      <c r="W518" s="1" t="str">
        <f>IF(L518&lt;0.4,"Low",
IF(L518&lt;0.7,"Medium","High"))</f>
        <v>Low</v>
      </c>
      <c r="X518" s="1" t="str">
        <f>IF(M518&lt;0.2,"Low",
IF(M518&lt;0.4,"Medium","High"))</f>
        <v>Medium</v>
      </c>
      <c r="Y518" s="1" t="str">
        <f>IF(P518&lt;100,"Low",
IF(P518&lt;300,"Medium","High"))</f>
        <v>Low</v>
      </c>
    </row>
    <row r="519" spans="1:25" x14ac:dyDescent="0.3">
      <c r="A519">
        <v>518</v>
      </c>
      <c r="B519" s="2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 t="str">
        <f>VLOOKUP(MasterData[[#This Row],[season]],[1]Lookup!$A$2:$B$5,2,FALSE)</f>
        <v>Spring</v>
      </c>
      <c r="R519" t="str">
        <f>TEXT(DATE(2026,E519,1),"mmmm")</f>
        <v>January</v>
      </c>
      <c r="S519" t="str">
        <f>IF(OR(H519=0,H519=6),"Weekend","Weekday")</f>
        <v>Weekend</v>
      </c>
      <c r="T519" s="1" t="str">
        <f>VLOOKUP(I519,[1]Lookup!$D$2:$E$5,2,FALSE)</f>
        <v>Clear</v>
      </c>
      <c r="U519" s="1" t="str">
        <f>IF(F519&lt;6,"Night",
IF(F519&lt;12,"Morning",
IF(F519&lt;17,"Afternoon",
IF(F519&lt;21,"Evening","Night"))))</f>
        <v>Afternoon</v>
      </c>
      <c r="V519" s="1" t="str">
        <f>IF(J519&lt;0.3,"Cold",
IF(J519&lt;0.6,"Pleasant","Hot"))</f>
        <v>Cold</v>
      </c>
      <c r="W519" s="1" t="str">
        <f>IF(L519&lt;0.4,"Low",
IF(L519&lt;0.7,"Medium","High"))</f>
        <v>Low</v>
      </c>
      <c r="X519" s="1" t="str">
        <f>IF(M519&lt;0.2,"Low",
IF(M519&lt;0.4,"Medium","High"))</f>
        <v>Medium</v>
      </c>
      <c r="Y519" s="1" t="str">
        <f>IF(P519&lt;100,"Low",
IF(P519&lt;300,"Medium","High"))</f>
        <v>Low</v>
      </c>
    </row>
    <row r="520" spans="1:25" x14ac:dyDescent="0.3">
      <c r="A520">
        <v>519</v>
      </c>
      <c r="B520" s="2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  <c r="Q520" t="str">
        <f>VLOOKUP(MasterData[[#This Row],[season]],[1]Lookup!$A$2:$B$5,2,FALSE)</f>
        <v>Spring</v>
      </c>
      <c r="R520" t="str">
        <f>TEXT(DATE(2026,E520,1),"mmmm")</f>
        <v>January</v>
      </c>
      <c r="S520" t="str">
        <f>IF(OR(H520=0,H520=6),"Weekend","Weekday")</f>
        <v>Weekend</v>
      </c>
      <c r="T520" s="1" t="str">
        <f>VLOOKUP(I520,[1]Lookup!$D$2:$E$5,2,FALSE)</f>
        <v>Clear</v>
      </c>
      <c r="U520" s="1" t="str">
        <f>IF(F520&lt;6,"Night",
IF(F520&lt;12,"Morning",
IF(F520&lt;17,"Afternoon",
IF(F520&lt;21,"Evening","Night"))))</f>
        <v>Evening</v>
      </c>
      <c r="V520" s="1" t="str">
        <f>IF(J520&lt;0.3,"Cold",
IF(J520&lt;0.6,"Pleasant","Hot"))</f>
        <v>Cold</v>
      </c>
      <c r="W520" s="1" t="str">
        <f>IF(L520&lt;0.4,"Low",
IF(L520&lt;0.7,"Medium","High"))</f>
        <v>Low</v>
      </c>
      <c r="X520" s="1" t="str">
        <f>IF(M520&lt;0.2,"Low",
IF(M520&lt;0.4,"Medium","High"))</f>
        <v>Medium</v>
      </c>
      <c r="Y520" s="1" t="str">
        <f>IF(P520&lt;100,"Low",
IF(P520&lt;300,"Medium","High"))</f>
        <v>Low</v>
      </c>
    </row>
    <row r="521" spans="1:25" x14ac:dyDescent="0.3">
      <c r="A521">
        <v>520</v>
      </c>
      <c r="B521" s="2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 t="str">
        <f>VLOOKUP(MasterData[[#This Row],[season]],[1]Lookup!$A$2:$B$5,2,FALSE)</f>
        <v>Spring</v>
      </c>
      <c r="R521" t="str">
        <f>TEXT(DATE(2026,E521,1),"mmmm")</f>
        <v>January</v>
      </c>
      <c r="S521" t="str">
        <f>IF(OR(H521=0,H521=6),"Weekend","Weekday")</f>
        <v>Weekend</v>
      </c>
      <c r="T521" s="1" t="str">
        <f>VLOOKUP(I521,[1]Lookup!$D$2:$E$5,2,FALSE)</f>
        <v>Clear</v>
      </c>
      <c r="U521" s="1" t="str">
        <f>IF(F521&lt;6,"Night",
IF(F521&lt;12,"Morning",
IF(F521&lt;17,"Afternoon",
IF(F521&lt;21,"Evening","Night"))))</f>
        <v>Evening</v>
      </c>
      <c r="V521" s="1" t="str">
        <f>IF(J521&lt;0.3,"Cold",
IF(J521&lt;0.6,"Pleasant","Hot"))</f>
        <v>Cold</v>
      </c>
      <c r="W521" s="1" t="str">
        <f>IF(L521&lt;0.4,"Low",
IF(L521&lt;0.7,"Medium","High"))</f>
        <v>Low</v>
      </c>
      <c r="X521" s="1" t="str">
        <f>IF(M521&lt;0.2,"Low",
IF(M521&lt;0.4,"Medium","High"))</f>
        <v>Medium</v>
      </c>
      <c r="Y521" s="1" t="str">
        <f>IF(P521&lt;100,"Low",
IF(P521&lt;300,"Medium","High"))</f>
        <v>Low</v>
      </c>
    </row>
    <row r="522" spans="1:25" x14ac:dyDescent="0.3">
      <c r="A522">
        <v>521</v>
      </c>
      <c r="B522" s="2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 t="str">
        <f>VLOOKUP(MasterData[[#This Row],[season]],[1]Lookup!$A$2:$B$5,2,FALSE)</f>
        <v>Spring</v>
      </c>
      <c r="R522" t="str">
        <f>TEXT(DATE(2026,E522,1),"mmmm")</f>
        <v>January</v>
      </c>
      <c r="S522" t="str">
        <f>IF(OR(H522=0,H522=6),"Weekend","Weekday")</f>
        <v>Weekend</v>
      </c>
      <c r="T522" s="1" t="str">
        <f>VLOOKUP(I522,[1]Lookup!$D$2:$E$5,2,FALSE)</f>
        <v>Clear</v>
      </c>
      <c r="U522" s="1" t="str">
        <f>IF(F522&lt;6,"Night",
IF(F522&lt;12,"Morning",
IF(F522&lt;17,"Afternoon",
IF(F522&lt;21,"Evening","Night"))))</f>
        <v>Evening</v>
      </c>
      <c r="V522" s="1" t="str">
        <f>IF(J522&lt;0.3,"Cold",
IF(J522&lt;0.6,"Pleasant","Hot"))</f>
        <v>Cold</v>
      </c>
      <c r="W522" s="1" t="str">
        <f>IF(L522&lt;0.4,"Low",
IF(L522&lt;0.7,"Medium","High"))</f>
        <v>Low</v>
      </c>
      <c r="X522" s="1" t="str">
        <f>IF(M522&lt;0.2,"Low",
IF(M522&lt;0.4,"Medium","High"))</f>
        <v>Medium</v>
      </c>
      <c r="Y522" s="1" t="str">
        <f>IF(P522&lt;100,"Low",
IF(P522&lt;300,"Medium","High"))</f>
        <v>Low</v>
      </c>
    </row>
    <row r="523" spans="1:25" x14ac:dyDescent="0.3">
      <c r="A523">
        <v>522</v>
      </c>
      <c r="B523" s="2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 t="str">
        <f>VLOOKUP(MasterData[[#This Row],[season]],[1]Lookup!$A$2:$B$5,2,FALSE)</f>
        <v>Spring</v>
      </c>
      <c r="R523" t="str">
        <f>TEXT(DATE(2026,E523,1),"mmmm")</f>
        <v>January</v>
      </c>
      <c r="S523" t="str">
        <f>IF(OR(H523=0,H523=6),"Weekend","Weekday")</f>
        <v>Weekend</v>
      </c>
      <c r="T523" s="1" t="str">
        <f>VLOOKUP(I523,[1]Lookup!$D$2:$E$5,2,FALSE)</f>
        <v>Clear</v>
      </c>
      <c r="U523" s="1" t="str">
        <f>IF(F523&lt;6,"Night",
IF(F523&lt;12,"Morning",
IF(F523&lt;17,"Afternoon",
IF(F523&lt;21,"Evening","Night"))))</f>
        <v>Evening</v>
      </c>
      <c r="V523" s="1" t="str">
        <f>IF(J523&lt;0.3,"Cold",
IF(J523&lt;0.6,"Pleasant","Hot"))</f>
        <v>Cold</v>
      </c>
      <c r="W523" s="1" t="str">
        <f>IF(L523&lt;0.4,"Low",
IF(L523&lt;0.7,"Medium","High"))</f>
        <v>Low</v>
      </c>
      <c r="X523" s="1" t="str">
        <f>IF(M523&lt;0.2,"Low",
IF(M523&lt;0.4,"Medium","High"))</f>
        <v>Medium</v>
      </c>
      <c r="Y523" s="1" t="str">
        <f>IF(P523&lt;100,"Low",
IF(P523&lt;300,"Medium","High"))</f>
        <v>Low</v>
      </c>
    </row>
    <row r="524" spans="1:25" x14ac:dyDescent="0.3">
      <c r="A524">
        <v>523</v>
      </c>
      <c r="B524" s="2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 t="str">
        <f>VLOOKUP(MasterData[[#This Row],[season]],[1]Lookup!$A$2:$B$5,2,FALSE)</f>
        <v>Spring</v>
      </c>
      <c r="R524" t="str">
        <f>TEXT(DATE(2026,E524,1),"mmmm")</f>
        <v>January</v>
      </c>
      <c r="S524" t="str">
        <f>IF(OR(H524=0,H524=6),"Weekend","Weekday")</f>
        <v>Weekend</v>
      </c>
      <c r="T524" s="1" t="str">
        <f>VLOOKUP(I524,[1]Lookup!$D$2:$E$5,2,FALSE)</f>
        <v>Clear</v>
      </c>
      <c r="U524" s="1" t="str">
        <f>IF(F524&lt;6,"Night",
IF(F524&lt;12,"Morning",
IF(F524&lt;17,"Afternoon",
IF(F524&lt;21,"Evening","Night"))))</f>
        <v>Night</v>
      </c>
      <c r="V524" s="1" t="str">
        <f>IF(J524&lt;0.3,"Cold",
IF(J524&lt;0.6,"Pleasant","Hot"))</f>
        <v>Cold</v>
      </c>
      <c r="W524" s="1" t="str">
        <f>IF(L524&lt;0.4,"Low",
IF(L524&lt;0.7,"Medium","High"))</f>
        <v>Low</v>
      </c>
      <c r="X524" s="1" t="str">
        <f>IF(M524&lt;0.2,"Low",
IF(M524&lt;0.4,"Medium","High"))</f>
        <v>Low</v>
      </c>
      <c r="Y524" s="1" t="str">
        <f>IF(P524&lt;100,"Low",
IF(P524&lt;300,"Medium","High"))</f>
        <v>Low</v>
      </c>
    </row>
    <row r="525" spans="1:25" x14ac:dyDescent="0.3">
      <c r="A525">
        <v>524</v>
      </c>
      <c r="B525" s="2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 t="str">
        <f>VLOOKUP(MasterData[[#This Row],[season]],[1]Lookup!$A$2:$B$5,2,FALSE)</f>
        <v>Spring</v>
      </c>
      <c r="R525" t="str">
        <f>TEXT(DATE(2026,E525,1),"mmmm")</f>
        <v>January</v>
      </c>
      <c r="S525" t="str">
        <f>IF(OR(H525=0,H525=6),"Weekend","Weekday")</f>
        <v>Weekend</v>
      </c>
      <c r="T525" s="1" t="str">
        <f>VLOOKUP(I525,[1]Lookup!$D$2:$E$5,2,FALSE)</f>
        <v>Clear</v>
      </c>
      <c r="U525" s="1" t="str">
        <f>IF(F525&lt;6,"Night",
IF(F525&lt;12,"Morning",
IF(F525&lt;17,"Afternoon",
IF(F525&lt;21,"Evening","Night"))))</f>
        <v>Night</v>
      </c>
      <c r="V525" s="1" t="str">
        <f>IF(J525&lt;0.3,"Cold",
IF(J525&lt;0.6,"Pleasant","Hot"))</f>
        <v>Cold</v>
      </c>
      <c r="W525" s="1" t="str">
        <f>IF(L525&lt;0.4,"Low",
IF(L525&lt;0.7,"Medium","High"))</f>
        <v>Low</v>
      </c>
      <c r="X525" s="1" t="str">
        <f>IF(M525&lt;0.2,"Low",
IF(M525&lt;0.4,"Medium","High"))</f>
        <v>Low</v>
      </c>
      <c r="Y525" s="1" t="str">
        <f>IF(P525&lt;100,"Low",
IF(P525&lt;300,"Medium","High"))</f>
        <v>Low</v>
      </c>
    </row>
    <row r="526" spans="1:25" x14ac:dyDescent="0.3">
      <c r="A526">
        <v>525</v>
      </c>
      <c r="B526" s="2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 t="str">
        <f>VLOOKUP(MasterData[[#This Row],[season]],[1]Lookup!$A$2:$B$5,2,FALSE)</f>
        <v>Spring</v>
      </c>
      <c r="R526" t="str">
        <f>TEXT(DATE(2026,E526,1),"mmmm")</f>
        <v>January</v>
      </c>
      <c r="S526" t="str">
        <f>IF(OR(H526=0,H526=6),"Weekend","Weekday")</f>
        <v>Weekend</v>
      </c>
      <c r="T526" s="1" t="str">
        <f>VLOOKUP(I526,[1]Lookup!$D$2:$E$5,2,FALSE)</f>
        <v>Clear</v>
      </c>
      <c r="U526" s="1" t="str">
        <f>IF(F526&lt;6,"Night",
IF(F526&lt;12,"Morning",
IF(F526&lt;17,"Afternoon",
IF(F526&lt;21,"Evening","Night"))))</f>
        <v>Night</v>
      </c>
      <c r="V526" s="1" t="str">
        <f>IF(J526&lt;0.3,"Cold",
IF(J526&lt;0.6,"Pleasant","Hot"))</f>
        <v>Cold</v>
      </c>
      <c r="W526" s="1" t="str">
        <f>IF(L526&lt;0.4,"Low",
IF(L526&lt;0.7,"Medium","High"))</f>
        <v>Medium</v>
      </c>
      <c r="X526" s="1" t="str">
        <f>IF(M526&lt;0.2,"Low",
IF(M526&lt;0.4,"Medium","High"))</f>
        <v>Medium</v>
      </c>
      <c r="Y526" s="1" t="str">
        <f>IF(P526&lt;100,"Low",
IF(P526&lt;300,"Medium","High"))</f>
        <v>Low</v>
      </c>
    </row>
    <row r="527" spans="1:25" x14ac:dyDescent="0.3">
      <c r="A527">
        <v>526</v>
      </c>
      <c r="B527" s="2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 t="str">
        <f>VLOOKUP(MasterData[[#This Row],[season]],[1]Lookup!$A$2:$B$5,2,FALSE)</f>
        <v>Spring</v>
      </c>
      <c r="R527" t="str">
        <f>TEXT(DATE(2026,E527,1),"mmmm")</f>
        <v>January</v>
      </c>
      <c r="S527" t="str">
        <f>IF(OR(H527=0,H527=6),"Weekend","Weekday")</f>
        <v>Weekday</v>
      </c>
      <c r="T527" s="1" t="str">
        <f>VLOOKUP(I527,[1]Lookup!$D$2:$E$5,2,FALSE)</f>
        <v>Clear</v>
      </c>
      <c r="U527" s="1" t="str">
        <f>IF(F527&lt;6,"Night",
IF(F527&lt;12,"Morning",
IF(F527&lt;17,"Afternoon",
IF(F527&lt;21,"Evening","Night"))))</f>
        <v>Night</v>
      </c>
      <c r="V527" s="1" t="str">
        <f>IF(J527&lt;0.3,"Cold",
IF(J527&lt;0.6,"Pleasant","Hot"))</f>
        <v>Cold</v>
      </c>
      <c r="W527" s="1" t="str">
        <f>IF(L527&lt;0.4,"Low",
IF(L527&lt;0.7,"Medium","High"))</f>
        <v>Medium</v>
      </c>
      <c r="X527" s="1" t="str">
        <f>IF(M527&lt;0.2,"Low",
IF(M527&lt;0.4,"Medium","High"))</f>
        <v>Low</v>
      </c>
      <c r="Y527" s="1" t="str">
        <f>IF(P527&lt;100,"Low",
IF(P527&lt;300,"Medium","High"))</f>
        <v>Low</v>
      </c>
    </row>
    <row r="528" spans="1:25" x14ac:dyDescent="0.3">
      <c r="A528">
        <v>527</v>
      </c>
      <c r="B528" s="2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 t="str">
        <f>VLOOKUP(MasterData[[#This Row],[season]],[1]Lookup!$A$2:$B$5,2,FALSE)</f>
        <v>Spring</v>
      </c>
      <c r="R528" t="str">
        <f>TEXT(DATE(2026,E528,1),"mmmm")</f>
        <v>January</v>
      </c>
      <c r="S528" t="str">
        <f>IF(OR(H528=0,H528=6),"Weekend","Weekday")</f>
        <v>Weekday</v>
      </c>
      <c r="T528" s="1" t="str">
        <f>VLOOKUP(I528,[1]Lookup!$D$2:$E$5,2,FALSE)</f>
        <v>Clear</v>
      </c>
      <c r="U528" s="1" t="str">
        <f>IF(F528&lt;6,"Night",
IF(F528&lt;12,"Morning",
IF(F528&lt;17,"Afternoon",
IF(F528&lt;21,"Evening","Night"))))</f>
        <v>Night</v>
      </c>
      <c r="V528" s="1" t="str">
        <f>IF(J528&lt;0.3,"Cold",
IF(J528&lt;0.6,"Pleasant","Hot"))</f>
        <v>Cold</v>
      </c>
      <c r="W528" s="1" t="str">
        <f>IF(L528&lt;0.4,"Low",
IF(L528&lt;0.7,"Medium","High"))</f>
        <v>Medium</v>
      </c>
      <c r="X528" s="1" t="str">
        <f>IF(M528&lt;0.2,"Low",
IF(M528&lt;0.4,"Medium","High"))</f>
        <v>Low</v>
      </c>
      <c r="Y528" s="1" t="str">
        <f>IF(P528&lt;100,"Low",
IF(P528&lt;300,"Medium","High"))</f>
        <v>Low</v>
      </c>
    </row>
    <row r="529" spans="1:25" x14ac:dyDescent="0.3">
      <c r="A529">
        <v>528</v>
      </c>
      <c r="B529" s="2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 t="str">
        <f>VLOOKUP(MasterData[[#This Row],[season]],[1]Lookup!$A$2:$B$5,2,FALSE)</f>
        <v>Spring</v>
      </c>
      <c r="R529" t="str">
        <f>TEXT(DATE(2026,E529,1),"mmmm")</f>
        <v>January</v>
      </c>
      <c r="S529" t="str">
        <f>IF(OR(H529=0,H529=6),"Weekend","Weekday")</f>
        <v>Weekday</v>
      </c>
      <c r="T529" s="1" t="str">
        <f>VLOOKUP(I529,[1]Lookup!$D$2:$E$5,2,FALSE)</f>
        <v>Clear</v>
      </c>
      <c r="U529" s="1" t="str">
        <f>IF(F529&lt;6,"Night",
IF(F529&lt;12,"Morning",
IF(F529&lt;17,"Afternoon",
IF(F529&lt;21,"Evening","Night"))))</f>
        <v>Night</v>
      </c>
      <c r="V529" s="1" t="str">
        <f>IF(J529&lt;0.3,"Cold",
IF(J529&lt;0.6,"Pleasant","Hot"))</f>
        <v>Cold</v>
      </c>
      <c r="W529" s="1" t="str">
        <f>IF(L529&lt;0.4,"Low",
IF(L529&lt;0.7,"Medium","High"))</f>
        <v>Medium</v>
      </c>
      <c r="X529" s="1" t="str">
        <f>IF(M529&lt;0.2,"Low",
IF(M529&lt;0.4,"Medium","High"))</f>
        <v>Medium</v>
      </c>
      <c r="Y529" s="1" t="str">
        <f>IF(P529&lt;100,"Low",
IF(P529&lt;300,"Medium","High"))</f>
        <v>Low</v>
      </c>
    </row>
    <row r="530" spans="1:25" x14ac:dyDescent="0.3">
      <c r="A530">
        <v>529</v>
      </c>
      <c r="B530" s="2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 t="str">
        <f>VLOOKUP(MasterData[[#This Row],[season]],[1]Lookup!$A$2:$B$5,2,FALSE)</f>
        <v>Spring</v>
      </c>
      <c r="R530" t="str">
        <f>TEXT(DATE(2026,E530,1),"mmmm")</f>
        <v>January</v>
      </c>
      <c r="S530" t="str">
        <f>IF(OR(H530=0,H530=6),"Weekend","Weekday")</f>
        <v>Weekday</v>
      </c>
      <c r="T530" s="1" t="str">
        <f>VLOOKUP(I530,[1]Lookup!$D$2:$E$5,2,FALSE)</f>
        <v>Clear</v>
      </c>
      <c r="U530" s="1" t="str">
        <f>IF(F530&lt;6,"Night",
IF(F530&lt;12,"Morning",
IF(F530&lt;17,"Afternoon",
IF(F530&lt;21,"Evening","Night"))))</f>
        <v>Night</v>
      </c>
      <c r="V530" s="1" t="str">
        <f>IF(J530&lt;0.3,"Cold",
IF(J530&lt;0.6,"Pleasant","Hot"))</f>
        <v>Cold</v>
      </c>
      <c r="W530" s="1" t="str">
        <f>IF(L530&lt;0.4,"Low",
IF(L530&lt;0.7,"Medium","High"))</f>
        <v>Medium</v>
      </c>
      <c r="X530" s="1" t="str">
        <f>IF(M530&lt;0.2,"Low",
IF(M530&lt;0.4,"Medium","High"))</f>
        <v>Low</v>
      </c>
      <c r="Y530" s="1" t="str">
        <f>IF(P530&lt;100,"Low",
IF(P530&lt;300,"Medium","High"))</f>
        <v>Low</v>
      </c>
    </row>
    <row r="531" spans="1:25" x14ac:dyDescent="0.3">
      <c r="A531">
        <v>530</v>
      </c>
      <c r="B531" s="2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  <c r="Q531" t="str">
        <f>VLOOKUP(MasterData[[#This Row],[season]],[1]Lookup!$A$2:$B$5,2,FALSE)</f>
        <v>Spring</v>
      </c>
      <c r="R531" t="str">
        <f>TEXT(DATE(2026,E531,1),"mmmm")</f>
        <v>January</v>
      </c>
      <c r="S531" t="str">
        <f>IF(OR(H531=0,H531=6),"Weekend","Weekday")</f>
        <v>Weekday</v>
      </c>
      <c r="T531" s="1" t="str">
        <f>VLOOKUP(I531,[1]Lookup!$D$2:$E$5,2,FALSE)</f>
        <v>Clear</v>
      </c>
      <c r="U531" s="1" t="str">
        <f>IF(F531&lt;6,"Night",
IF(F531&lt;12,"Morning",
IF(F531&lt;17,"Afternoon",
IF(F531&lt;21,"Evening","Night"))))</f>
        <v>Night</v>
      </c>
      <c r="V531" s="1" t="str">
        <f>IF(J531&lt;0.3,"Cold",
IF(J531&lt;0.6,"Pleasant","Hot"))</f>
        <v>Cold</v>
      </c>
      <c r="W531" s="1" t="str">
        <f>IF(L531&lt;0.4,"Low",
IF(L531&lt;0.7,"Medium","High"))</f>
        <v>Medium</v>
      </c>
      <c r="X531" s="1" t="str">
        <f>IF(M531&lt;0.2,"Low",
IF(M531&lt;0.4,"Medium","High"))</f>
        <v>Low</v>
      </c>
      <c r="Y531" s="1" t="str">
        <f>IF(P531&lt;100,"Low",
IF(P531&lt;300,"Medium","High"))</f>
        <v>Low</v>
      </c>
    </row>
    <row r="532" spans="1:25" x14ac:dyDescent="0.3">
      <c r="A532">
        <v>531</v>
      </c>
      <c r="B532" s="2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 t="str">
        <f>VLOOKUP(MasterData[[#This Row],[season]],[1]Lookup!$A$2:$B$5,2,FALSE)</f>
        <v>Spring</v>
      </c>
      <c r="R532" t="str">
        <f>TEXT(DATE(2026,E532,1),"mmmm")</f>
        <v>January</v>
      </c>
      <c r="S532" t="str">
        <f>IF(OR(H532=0,H532=6),"Weekend","Weekday")</f>
        <v>Weekday</v>
      </c>
      <c r="T532" s="1" t="str">
        <f>VLOOKUP(I532,[1]Lookup!$D$2:$E$5,2,FALSE)</f>
        <v>Clear</v>
      </c>
      <c r="U532" s="1" t="str">
        <f>IF(F532&lt;6,"Night",
IF(F532&lt;12,"Morning",
IF(F532&lt;17,"Afternoon",
IF(F532&lt;21,"Evening","Night"))))</f>
        <v>Morning</v>
      </c>
      <c r="V532" s="1" t="str">
        <f>IF(J532&lt;0.3,"Cold",
IF(J532&lt;0.6,"Pleasant","Hot"))</f>
        <v>Cold</v>
      </c>
      <c r="W532" s="1" t="str">
        <f>IF(L532&lt;0.4,"Low",
IF(L532&lt;0.7,"Medium","High"))</f>
        <v>Medium</v>
      </c>
      <c r="X532" s="1" t="str">
        <f>IF(M532&lt;0.2,"Low",
IF(M532&lt;0.4,"Medium","High"))</f>
        <v>Low</v>
      </c>
      <c r="Y532" s="1" t="str">
        <f>IF(P532&lt;100,"Low",
IF(P532&lt;300,"Medium","High"))</f>
        <v>Low</v>
      </c>
    </row>
    <row r="533" spans="1:25" x14ac:dyDescent="0.3">
      <c r="A533">
        <v>532</v>
      </c>
      <c r="B533" s="2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  <c r="Q533" t="str">
        <f>VLOOKUP(MasterData[[#This Row],[season]],[1]Lookup!$A$2:$B$5,2,FALSE)</f>
        <v>Spring</v>
      </c>
      <c r="R533" t="str">
        <f>TEXT(DATE(2026,E533,1),"mmmm")</f>
        <v>January</v>
      </c>
      <c r="S533" t="str">
        <f>IF(OR(H533=0,H533=6),"Weekend","Weekday")</f>
        <v>Weekday</v>
      </c>
      <c r="T533" s="1" t="str">
        <f>VLOOKUP(I533,[1]Lookup!$D$2:$E$5,2,FALSE)</f>
        <v>Clear</v>
      </c>
      <c r="U533" s="1" t="str">
        <f>IF(F533&lt;6,"Night",
IF(F533&lt;12,"Morning",
IF(F533&lt;17,"Afternoon",
IF(F533&lt;21,"Evening","Night"))))</f>
        <v>Morning</v>
      </c>
      <c r="V533" s="1" t="str">
        <f>IF(J533&lt;0.3,"Cold",
IF(J533&lt;0.6,"Pleasant","Hot"))</f>
        <v>Cold</v>
      </c>
      <c r="W533" s="1" t="str">
        <f>IF(L533&lt;0.4,"Low",
IF(L533&lt;0.7,"Medium","High"))</f>
        <v>Medium</v>
      </c>
      <c r="X533" s="1" t="str">
        <f>IF(M533&lt;0.2,"Low",
IF(M533&lt;0.4,"Medium","High"))</f>
        <v>Low</v>
      </c>
      <c r="Y533" s="1" t="str">
        <f>IF(P533&lt;100,"Low",
IF(P533&lt;300,"Medium","High"))</f>
        <v>Low</v>
      </c>
    </row>
    <row r="534" spans="1:25" x14ac:dyDescent="0.3">
      <c r="A534">
        <v>533</v>
      </c>
      <c r="B534" s="2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  <c r="Q534" t="str">
        <f>VLOOKUP(MasterData[[#This Row],[season]],[1]Lookup!$A$2:$B$5,2,FALSE)</f>
        <v>Spring</v>
      </c>
      <c r="R534" t="str">
        <f>TEXT(DATE(2026,E534,1),"mmmm")</f>
        <v>January</v>
      </c>
      <c r="S534" t="str">
        <f>IF(OR(H534=0,H534=6),"Weekend","Weekday")</f>
        <v>Weekday</v>
      </c>
      <c r="T534" s="1" t="str">
        <f>VLOOKUP(I534,[1]Lookup!$D$2:$E$5,2,FALSE)</f>
        <v>Clear</v>
      </c>
      <c r="U534" s="1" t="str">
        <f>IF(F534&lt;6,"Night",
IF(F534&lt;12,"Morning",
IF(F534&lt;17,"Afternoon",
IF(F534&lt;21,"Evening","Night"))))</f>
        <v>Morning</v>
      </c>
      <c r="V534" s="1" t="str">
        <f>IF(J534&lt;0.3,"Cold",
IF(J534&lt;0.6,"Pleasant","Hot"))</f>
        <v>Cold</v>
      </c>
      <c r="W534" s="1" t="str">
        <f>IF(L534&lt;0.4,"Low",
IF(L534&lt;0.7,"Medium","High"))</f>
        <v>Medium</v>
      </c>
      <c r="X534" s="1" t="str">
        <f>IF(M534&lt;0.2,"Low",
IF(M534&lt;0.4,"Medium","High"))</f>
        <v>Low</v>
      </c>
      <c r="Y534" s="1" t="str">
        <f>IF(P534&lt;100,"Low",
IF(P534&lt;300,"Medium","High"))</f>
        <v>Medium</v>
      </c>
    </row>
    <row r="535" spans="1:25" x14ac:dyDescent="0.3">
      <c r="A535">
        <v>534</v>
      </c>
      <c r="B535" s="2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  <c r="Q535" t="str">
        <f>VLOOKUP(MasterData[[#This Row],[season]],[1]Lookup!$A$2:$B$5,2,FALSE)</f>
        <v>Spring</v>
      </c>
      <c r="R535" t="str">
        <f>TEXT(DATE(2026,E535,1),"mmmm")</f>
        <v>January</v>
      </c>
      <c r="S535" t="str">
        <f>IF(OR(H535=0,H535=6),"Weekend","Weekday")</f>
        <v>Weekday</v>
      </c>
      <c r="T535" s="1" t="str">
        <f>VLOOKUP(I535,[1]Lookup!$D$2:$E$5,2,FALSE)</f>
        <v>Clear</v>
      </c>
      <c r="U535" s="1" t="str">
        <f>IF(F535&lt;6,"Night",
IF(F535&lt;12,"Morning",
IF(F535&lt;17,"Afternoon",
IF(F535&lt;21,"Evening","Night"))))</f>
        <v>Morning</v>
      </c>
      <c r="V535" s="1" t="str">
        <f>IF(J535&lt;0.3,"Cold",
IF(J535&lt;0.6,"Pleasant","Hot"))</f>
        <v>Cold</v>
      </c>
      <c r="W535" s="1" t="str">
        <f>IF(L535&lt;0.4,"Low",
IF(L535&lt;0.7,"Medium","High"))</f>
        <v>Medium</v>
      </c>
      <c r="X535" s="1" t="str">
        <f>IF(M535&lt;0.2,"Low",
IF(M535&lt;0.4,"Medium","High"))</f>
        <v>Low</v>
      </c>
      <c r="Y535" s="1" t="str">
        <f>IF(P535&lt;100,"Low",
IF(P535&lt;300,"Medium","High"))</f>
        <v>Medium</v>
      </c>
    </row>
    <row r="536" spans="1:25" x14ac:dyDescent="0.3">
      <c r="A536">
        <v>535</v>
      </c>
      <c r="B536" s="2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  <c r="Q536" t="str">
        <f>VLOOKUP(MasterData[[#This Row],[season]],[1]Lookup!$A$2:$B$5,2,FALSE)</f>
        <v>Spring</v>
      </c>
      <c r="R536" t="str">
        <f>TEXT(DATE(2026,E536,1),"mmmm")</f>
        <v>January</v>
      </c>
      <c r="S536" t="str">
        <f>IF(OR(H536=0,H536=6),"Weekend","Weekday")</f>
        <v>Weekday</v>
      </c>
      <c r="T536" s="1" t="str">
        <f>VLOOKUP(I536,[1]Lookup!$D$2:$E$5,2,FALSE)</f>
        <v>Clear</v>
      </c>
      <c r="U536" s="1" t="str">
        <f>IF(F536&lt;6,"Night",
IF(F536&lt;12,"Morning",
IF(F536&lt;17,"Afternoon",
IF(F536&lt;21,"Evening","Night"))))</f>
        <v>Morning</v>
      </c>
      <c r="V536" s="1" t="str">
        <f>IF(J536&lt;0.3,"Cold",
IF(J536&lt;0.6,"Pleasant","Hot"))</f>
        <v>Cold</v>
      </c>
      <c r="W536" s="1" t="str">
        <f>IF(L536&lt;0.4,"Low",
IF(L536&lt;0.7,"Medium","High"))</f>
        <v>Medium</v>
      </c>
      <c r="X536" s="1" t="str">
        <f>IF(M536&lt;0.2,"Low",
IF(M536&lt;0.4,"Medium","High"))</f>
        <v>Low</v>
      </c>
      <c r="Y536" s="1" t="str">
        <f>IF(P536&lt;100,"Low",
IF(P536&lt;300,"Medium","High"))</f>
        <v>Low</v>
      </c>
    </row>
    <row r="537" spans="1:25" x14ac:dyDescent="0.3">
      <c r="A537">
        <v>536</v>
      </c>
      <c r="B537" s="2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  <c r="Q537" t="str">
        <f>VLOOKUP(MasterData[[#This Row],[season]],[1]Lookup!$A$2:$B$5,2,FALSE)</f>
        <v>Spring</v>
      </c>
      <c r="R537" t="str">
        <f>TEXT(DATE(2026,E537,1),"mmmm")</f>
        <v>January</v>
      </c>
      <c r="S537" t="str">
        <f>IF(OR(H537=0,H537=6),"Weekend","Weekday")</f>
        <v>Weekday</v>
      </c>
      <c r="T537" s="1" t="str">
        <f>VLOOKUP(I537,[1]Lookup!$D$2:$E$5,2,FALSE)</f>
        <v>Clear</v>
      </c>
      <c r="U537" s="1" t="str">
        <f>IF(F537&lt;6,"Night",
IF(F537&lt;12,"Morning",
IF(F537&lt;17,"Afternoon",
IF(F537&lt;21,"Evening","Night"))))</f>
        <v>Morning</v>
      </c>
      <c r="V537" s="1" t="str">
        <f>IF(J537&lt;0.3,"Cold",
IF(J537&lt;0.6,"Pleasant","Hot"))</f>
        <v>Cold</v>
      </c>
      <c r="W537" s="1" t="str">
        <f>IF(L537&lt;0.4,"Low",
IF(L537&lt;0.7,"Medium","High"))</f>
        <v>Medium</v>
      </c>
      <c r="X537" s="1" t="str">
        <f>IF(M537&lt;0.2,"Low",
IF(M537&lt;0.4,"Medium","High"))</f>
        <v>Low</v>
      </c>
      <c r="Y537" s="1" t="str">
        <f>IF(P537&lt;100,"Low",
IF(P537&lt;300,"Medium","High"))</f>
        <v>Low</v>
      </c>
    </row>
    <row r="538" spans="1:25" x14ac:dyDescent="0.3">
      <c r="A538">
        <v>537</v>
      </c>
      <c r="B538" s="2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 t="str">
        <f>VLOOKUP(MasterData[[#This Row],[season]],[1]Lookup!$A$2:$B$5,2,FALSE)</f>
        <v>Spring</v>
      </c>
      <c r="R538" t="str">
        <f>TEXT(DATE(2026,E538,1),"mmmm")</f>
        <v>January</v>
      </c>
      <c r="S538" t="str">
        <f>IF(OR(H538=0,H538=6),"Weekend","Weekday")</f>
        <v>Weekday</v>
      </c>
      <c r="T538" s="1" t="str">
        <f>VLOOKUP(I538,[1]Lookup!$D$2:$E$5,2,FALSE)</f>
        <v>Mist / Cloudy</v>
      </c>
      <c r="U538" s="1" t="str">
        <f>IF(F538&lt;6,"Night",
IF(F538&lt;12,"Morning",
IF(F538&lt;17,"Afternoon",
IF(F538&lt;21,"Evening","Night"))))</f>
        <v>Afternoon</v>
      </c>
      <c r="V538" s="1" t="str">
        <f>IF(J538&lt;0.3,"Cold",
IF(J538&lt;0.6,"Pleasant","Hot"))</f>
        <v>Cold</v>
      </c>
      <c r="W538" s="1" t="str">
        <f>IF(L538&lt;0.4,"Low",
IF(L538&lt;0.7,"Medium","High"))</f>
        <v>Medium</v>
      </c>
      <c r="X538" s="1" t="str">
        <f>IF(M538&lt;0.2,"Low",
IF(M538&lt;0.4,"Medium","High"))</f>
        <v>Low</v>
      </c>
      <c r="Y538" s="1" t="str">
        <f>IF(P538&lt;100,"Low",
IF(P538&lt;300,"Medium","High"))</f>
        <v>Low</v>
      </c>
    </row>
    <row r="539" spans="1:25" x14ac:dyDescent="0.3">
      <c r="A539">
        <v>538</v>
      </c>
      <c r="B539" s="2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 t="str">
        <f>VLOOKUP(MasterData[[#This Row],[season]],[1]Lookup!$A$2:$B$5,2,FALSE)</f>
        <v>Spring</v>
      </c>
      <c r="R539" t="str">
        <f>TEXT(DATE(2026,E539,1),"mmmm")</f>
        <v>January</v>
      </c>
      <c r="S539" t="str">
        <f>IF(OR(H539=0,H539=6),"Weekend","Weekday")</f>
        <v>Weekday</v>
      </c>
      <c r="T539" s="1" t="str">
        <f>VLOOKUP(I539,[1]Lookup!$D$2:$E$5,2,FALSE)</f>
        <v>Mist / Cloudy</v>
      </c>
      <c r="U539" s="1" t="str">
        <f>IF(F539&lt;6,"Night",
IF(F539&lt;12,"Morning",
IF(F539&lt;17,"Afternoon",
IF(F539&lt;21,"Evening","Night"))))</f>
        <v>Afternoon</v>
      </c>
      <c r="V539" s="1" t="str">
        <f>IF(J539&lt;0.3,"Cold",
IF(J539&lt;0.6,"Pleasant","Hot"))</f>
        <v>Cold</v>
      </c>
      <c r="W539" s="1" t="str">
        <f>IF(L539&lt;0.4,"Low",
IF(L539&lt;0.7,"Medium","High"))</f>
        <v>Medium</v>
      </c>
      <c r="X539" s="1" t="str">
        <f>IF(M539&lt;0.2,"Low",
IF(M539&lt;0.4,"Medium","High"))</f>
        <v>Medium</v>
      </c>
      <c r="Y539" s="1" t="str">
        <f>IF(P539&lt;100,"Low",
IF(P539&lt;300,"Medium","High"))</f>
        <v>Low</v>
      </c>
    </row>
    <row r="540" spans="1:25" x14ac:dyDescent="0.3">
      <c r="A540">
        <v>539</v>
      </c>
      <c r="B540" s="2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 t="str">
        <f>VLOOKUP(MasterData[[#This Row],[season]],[1]Lookup!$A$2:$B$5,2,FALSE)</f>
        <v>Spring</v>
      </c>
      <c r="R540" t="str">
        <f>TEXT(DATE(2026,E540,1),"mmmm")</f>
        <v>January</v>
      </c>
      <c r="S540" t="str">
        <f>IF(OR(H540=0,H540=6),"Weekend","Weekday")</f>
        <v>Weekday</v>
      </c>
      <c r="T540" s="1" t="str">
        <f>VLOOKUP(I540,[1]Lookup!$D$2:$E$5,2,FALSE)</f>
        <v>Mist / Cloudy</v>
      </c>
      <c r="U540" s="1" t="str">
        <f>IF(F540&lt;6,"Night",
IF(F540&lt;12,"Morning",
IF(F540&lt;17,"Afternoon",
IF(F540&lt;21,"Evening","Night"))))</f>
        <v>Afternoon</v>
      </c>
      <c r="V540" s="1" t="str">
        <f>IF(J540&lt;0.3,"Cold",
IF(J540&lt;0.6,"Pleasant","Hot"))</f>
        <v>Cold</v>
      </c>
      <c r="W540" s="1" t="str">
        <f>IF(L540&lt;0.4,"Low",
IF(L540&lt;0.7,"Medium","High"))</f>
        <v>Medium</v>
      </c>
      <c r="X540" s="1" t="str">
        <f>IF(M540&lt;0.2,"Low",
IF(M540&lt;0.4,"Medium","High"))</f>
        <v>Medium</v>
      </c>
      <c r="Y540" s="1" t="str">
        <f>IF(P540&lt;100,"Low",
IF(P540&lt;300,"Medium","High"))</f>
        <v>Low</v>
      </c>
    </row>
    <row r="541" spans="1:25" x14ac:dyDescent="0.3">
      <c r="A541">
        <v>540</v>
      </c>
      <c r="B541" s="2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 t="str">
        <f>VLOOKUP(MasterData[[#This Row],[season]],[1]Lookup!$A$2:$B$5,2,FALSE)</f>
        <v>Spring</v>
      </c>
      <c r="R541" t="str">
        <f>TEXT(DATE(2026,E541,1),"mmmm")</f>
        <v>January</v>
      </c>
      <c r="S541" t="str">
        <f>IF(OR(H541=0,H541=6),"Weekend","Weekday")</f>
        <v>Weekday</v>
      </c>
      <c r="T541" s="1" t="str">
        <f>VLOOKUP(I541,[1]Lookup!$D$2:$E$5,2,FALSE)</f>
        <v>Clear</v>
      </c>
      <c r="U541" s="1" t="str">
        <f>IF(F541&lt;6,"Night",
IF(F541&lt;12,"Morning",
IF(F541&lt;17,"Afternoon",
IF(F541&lt;21,"Evening","Night"))))</f>
        <v>Afternoon</v>
      </c>
      <c r="V541" s="1" t="str">
        <f>IF(J541&lt;0.3,"Cold",
IF(J541&lt;0.6,"Pleasant","Hot"))</f>
        <v>Cold</v>
      </c>
      <c r="W541" s="1" t="str">
        <f>IF(L541&lt;0.4,"Low",
IF(L541&lt;0.7,"Medium","High"))</f>
        <v>Medium</v>
      </c>
      <c r="X541" s="1" t="str">
        <f>IF(M541&lt;0.2,"Low",
IF(M541&lt;0.4,"Medium","High"))</f>
        <v>Low</v>
      </c>
      <c r="Y541" s="1" t="str">
        <f>IF(P541&lt;100,"Low",
IF(P541&lt;300,"Medium","High"))</f>
        <v>Low</v>
      </c>
    </row>
    <row r="542" spans="1:25" x14ac:dyDescent="0.3">
      <c r="A542">
        <v>541</v>
      </c>
      <c r="B542" s="2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 t="str">
        <f>VLOOKUP(MasterData[[#This Row],[season]],[1]Lookup!$A$2:$B$5,2,FALSE)</f>
        <v>Spring</v>
      </c>
      <c r="R542" t="str">
        <f>TEXT(DATE(2026,E542,1),"mmmm")</f>
        <v>January</v>
      </c>
      <c r="S542" t="str">
        <f>IF(OR(H542=0,H542=6),"Weekend","Weekday")</f>
        <v>Weekday</v>
      </c>
      <c r="T542" s="1" t="str">
        <f>VLOOKUP(I542,[1]Lookup!$D$2:$E$5,2,FALSE)</f>
        <v>Clear</v>
      </c>
      <c r="U542" s="1" t="str">
        <f>IF(F542&lt;6,"Night",
IF(F542&lt;12,"Morning",
IF(F542&lt;17,"Afternoon",
IF(F542&lt;21,"Evening","Night"))))</f>
        <v>Afternoon</v>
      </c>
      <c r="V542" s="1" t="str">
        <f>IF(J542&lt;0.3,"Cold",
IF(J542&lt;0.6,"Pleasant","Hot"))</f>
        <v>Cold</v>
      </c>
      <c r="W542" s="1" t="str">
        <f>IF(L542&lt;0.4,"Low",
IF(L542&lt;0.7,"Medium","High"))</f>
        <v>Medium</v>
      </c>
      <c r="X542" s="1" t="str">
        <f>IF(M542&lt;0.2,"Low",
IF(M542&lt;0.4,"Medium","High"))</f>
        <v>Medium</v>
      </c>
      <c r="Y542" s="1" t="str">
        <f>IF(P542&lt;100,"Low",
IF(P542&lt;300,"Medium","High"))</f>
        <v>Low</v>
      </c>
    </row>
    <row r="543" spans="1:25" x14ac:dyDescent="0.3">
      <c r="A543">
        <v>542</v>
      </c>
      <c r="B543" s="2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 t="str">
        <f>VLOOKUP(MasterData[[#This Row],[season]],[1]Lookup!$A$2:$B$5,2,FALSE)</f>
        <v>Spring</v>
      </c>
      <c r="R543" t="str">
        <f>TEXT(DATE(2026,E543,1),"mmmm")</f>
        <v>January</v>
      </c>
      <c r="S543" t="str">
        <f>IF(OR(H543=0,H543=6),"Weekend","Weekday")</f>
        <v>Weekday</v>
      </c>
      <c r="T543" s="1" t="str">
        <f>VLOOKUP(I543,[1]Lookup!$D$2:$E$5,2,FALSE)</f>
        <v>Clear</v>
      </c>
      <c r="U543" s="1" t="str">
        <f>IF(F543&lt;6,"Night",
IF(F543&lt;12,"Morning",
IF(F543&lt;17,"Afternoon",
IF(F543&lt;21,"Evening","Night"))))</f>
        <v>Evening</v>
      </c>
      <c r="V543" s="1" t="str">
        <f>IF(J543&lt;0.3,"Cold",
IF(J543&lt;0.6,"Pleasant","Hot"))</f>
        <v>Cold</v>
      </c>
      <c r="W543" s="1" t="str">
        <f>IF(L543&lt;0.4,"Low",
IF(L543&lt;0.7,"Medium","High"))</f>
        <v>Medium</v>
      </c>
      <c r="X543" s="1" t="str">
        <f>IF(M543&lt;0.2,"Low",
IF(M543&lt;0.4,"Medium","High"))</f>
        <v>Medium</v>
      </c>
      <c r="Y543" s="1" t="str">
        <f>IF(P543&lt;100,"Low",
IF(P543&lt;300,"Medium","High"))</f>
        <v>Medium</v>
      </c>
    </row>
    <row r="544" spans="1:25" x14ac:dyDescent="0.3">
      <c r="A544">
        <v>543</v>
      </c>
      <c r="B544" s="2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 t="str">
        <f>VLOOKUP(MasterData[[#This Row],[season]],[1]Lookup!$A$2:$B$5,2,FALSE)</f>
        <v>Spring</v>
      </c>
      <c r="R544" t="str">
        <f>TEXT(DATE(2026,E544,1),"mmmm")</f>
        <v>January</v>
      </c>
      <c r="S544" t="str">
        <f>IF(OR(H544=0,H544=6),"Weekend","Weekday")</f>
        <v>Weekday</v>
      </c>
      <c r="T544" s="1" t="str">
        <f>VLOOKUP(I544,[1]Lookup!$D$2:$E$5,2,FALSE)</f>
        <v>Clear</v>
      </c>
      <c r="U544" s="1" t="str">
        <f>IF(F544&lt;6,"Night",
IF(F544&lt;12,"Morning",
IF(F544&lt;17,"Afternoon",
IF(F544&lt;21,"Evening","Night"))))</f>
        <v>Evening</v>
      </c>
      <c r="V544" s="1" t="str">
        <f>IF(J544&lt;0.3,"Cold",
IF(J544&lt;0.6,"Pleasant","Hot"))</f>
        <v>Cold</v>
      </c>
      <c r="W544" s="1" t="str">
        <f>IF(L544&lt;0.4,"Low",
IF(L544&lt;0.7,"Medium","High"))</f>
        <v>Medium</v>
      </c>
      <c r="X544" s="1" t="str">
        <f>IF(M544&lt;0.2,"Low",
IF(M544&lt;0.4,"Medium","High"))</f>
        <v>Low</v>
      </c>
      <c r="Y544" s="1" t="str">
        <f>IF(P544&lt;100,"Low",
IF(P544&lt;300,"Medium","High"))</f>
        <v>Medium</v>
      </c>
    </row>
    <row r="545" spans="1:25" x14ac:dyDescent="0.3">
      <c r="A545">
        <v>544</v>
      </c>
      <c r="B545" s="2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 t="str">
        <f>VLOOKUP(MasterData[[#This Row],[season]],[1]Lookup!$A$2:$B$5,2,FALSE)</f>
        <v>Spring</v>
      </c>
      <c r="R545" t="str">
        <f>TEXT(DATE(2026,E545,1),"mmmm")</f>
        <v>January</v>
      </c>
      <c r="S545" t="str">
        <f>IF(OR(H545=0,H545=6),"Weekend","Weekday")</f>
        <v>Weekday</v>
      </c>
      <c r="T545" s="1" t="str">
        <f>VLOOKUP(I545,[1]Lookup!$D$2:$E$5,2,FALSE)</f>
        <v>Clear</v>
      </c>
      <c r="U545" s="1" t="str">
        <f>IF(F545&lt;6,"Night",
IF(F545&lt;12,"Morning",
IF(F545&lt;17,"Afternoon",
IF(F545&lt;21,"Evening","Night"))))</f>
        <v>Evening</v>
      </c>
      <c r="V545" s="1" t="str">
        <f>IF(J545&lt;0.3,"Cold",
IF(J545&lt;0.6,"Pleasant","Hot"))</f>
        <v>Cold</v>
      </c>
      <c r="W545" s="1" t="str">
        <f>IF(L545&lt;0.4,"Low",
IF(L545&lt;0.7,"Medium","High"))</f>
        <v>Medium</v>
      </c>
      <c r="X545" s="1" t="str">
        <f>IF(M545&lt;0.2,"Low",
IF(M545&lt;0.4,"Medium","High"))</f>
        <v>Low</v>
      </c>
      <c r="Y545" s="1" t="str">
        <f>IF(P545&lt;100,"Low",
IF(P545&lt;300,"Medium","High"))</f>
        <v>Medium</v>
      </c>
    </row>
    <row r="546" spans="1:25" x14ac:dyDescent="0.3">
      <c r="A546">
        <v>545</v>
      </c>
      <c r="B546" s="2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 t="str">
        <f>VLOOKUP(MasterData[[#This Row],[season]],[1]Lookup!$A$2:$B$5,2,FALSE)</f>
        <v>Spring</v>
      </c>
      <c r="R546" t="str">
        <f>TEXT(DATE(2026,E546,1),"mmmm")</f>
        <v>January</v>
      </c>
      <c r="S546" t="str">
        <f>IF(OR(H546=0,H546=6),"Weekend","Weekday")</f>
        <v>Weekday</v>
      </c>
      <c r="T546" s="1" t="str">
        <f>VLOOKUP(I546,[1]Lookup!$D$2:$E$5,2,FALSE)</f>
        <v>Clear</v>
      </c>
      <c r="U546" s="1" t="str">
        <f>IF(F546&lt;6,"Night",
IF(F546&lt;12,"Morning",
IF(F546&lt;17,"Afternoon",
IF(F546&lt;21,"Evening","Night"))))</f>
        <v>Evening</v>
      </c>
      <c r="V546" s="1" t="str">
        <f>IF(J546&lt;0.3,"Cold",
IF(J546&lt;0.6,"Pleasant","Hot"))</f>
        <v>Cold</v>
      </c>
      <c r="W546" s="1" t="str">
        <f>IF(L546&lt;0.4,"Low",
IF(L546&lt;0.7,"Medium","High"))</f>
        <v>Medium</v>
      </c>
      <c r="X546" s="1" t="str">
        <f>IF(M546&lt;0.2,"Low",
IF(M546&lt;0.4,"Medium","High"))</f>
        <v>Low</v>
      </c>
      <c r="Y546" s="1" t="str">
        <f>IF(P546&lt;100,"Low",
IF(P546&lt;300,"Medium","High"))</f>
        <v>Low</v>
      </c>
    </row>
    <row r="547" spans="1:25" x14ac:dyDescent="0.3">
      <c r="A547">
        <v>546</v>
      </c>
      <c r="B547" s="2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 t="str">
        <f>VLOOKUP(MasterData[[#This Row],[season]],[1]Lookup!$A$2:$B$5,2,FALSE)</f>
        <v>Spring</v>
      </c>
      <c r="R547" t="str">
        <f>TEXT(DATE(2026,E547,1),"mmmm")</f>
        <v>January</v>
      </c>
      <c r="S547" t="str">
        <f>IF(OR(H547=0,H547=6),"Weekend","Weekday")</f>
        <v>Weekday</v>
      </c>
      <c r="T547" s="1" t="str">
        <f>VLOOKUP(I547,[1]Lookup!$D$2:$E$5,2,FALSE)</f>
        <v>Clear</v>
      </c>
      <c r="U547" s="1" t="str">
        <f>IF(F547&lt;6,"Night",
IF(F547&lt;12,"Morning",
IF(F547&lt;17,"Afternoon",
IF(F547&lt;21,"Evening","Night"))))</f>
        <v>Night</v>
      </c>
      <c r="V547" s="1" t="str">
        <f>IF(J547&lt;0.3,"Cold",
IF(J547&lt;0.6,"Pleasant","Hot"))</f>
        <v>Cold</v>
      </c>
      <c r="W547" s="1" t="str">
        <f>IF(L547&lt;0.4,"Low",
IF(L547&lt;0.7,"Medium","High"))</f>
        <v>Medium</v>
      </c>
      <c r="X547" s="1" t="str">
        <f>IF(M547&lt;0.2,"Low",
IF(M547&lt;0.4,"Medium","High"))</f>
        <v>Low</v>
      </c>
      <c r="Y547" s="1" t="str">
        <f>IF(P547&lt;100,"Low",
IF(P547&lt;300,"Medium","High"))</f>
        <v>Low</v>
      </c>
    </row>
    <row r="548" spans="1:25" x14ac:dyDescent="0.3">
      <c r="A548">
        <v>547</v>
      </c>
      <c r="B548" s="2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 t="str">
        <f>VLOOKUP(MasterData[[#This Row],[season]],[1]Lookup!$A$2:$B$5,2,FALSE)</f>
        <v>Spring</v>
      </c>
      <c r="R548" t="str">
        <f>TEXT(DATE(2026,E548,1),"mmmm")</f>
        <v>January</v>
      </c>
      <c r="S548" t="str">
        <f>IF(OR(H548=0,H548=6),"Weekend","Weekday")</f>
        <v>Weekday</v>
      </c>
      <c r="T548" s="1" t="str">
        <f>VLOOKUP(I548,[1]Lookup!$D$2:$E$5,2,FALSE)</f>
        <v>Mist / Cloudy</v>
      </c>
      <c r="U548" s="1" t="str">
        <f>IF(F548&lt;6,"Night",
IF(F548&lt;12,"Morning",
IF(F548&lt;17,"Afternoon",
IF(F548&lt;21,"Evening","Night"))))</f>
        <v>Night</v>
      </c>
      <c r="V548" s="1" t="str">
        <f>IF(J548&lt;0.3,"Cold",
IF(J548&lt;0.6,"Pleasant","Hot"))</f>
        <v>Cold</v>
      </c>
      <c r="W548" s="1" t="str">
        <f>IF(L548&lt;0.4,"Low",
IF(L548&lt;0.7,"Medium","High"))</f>
        <v>Medium</v>
      </c>
      <c r="X548" s="1" t="str">
        <f>IF(M548&lt;0.2,"Low",
IF(M548&lt;0.4,"Medium","High"))</f>
        <v>Medium</v>
      </c>
      <c r="Y548" s="1" t="str">
        <f>IF(P548&lt;100,"Low",
IF(P548&lt;300,"Medium","High"))</f>
        <v>Low</v>
      </c>
    </row>
    <row r="549" spans="1:25" x14ac:dyDescent="0.3">
      <c r="A549">
        <v>548</v>
      </c>
      <c r="B549" s="2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 t="str">
        <f>VLOOKUP(MasterData[[#This Row],[season]],[1]Lookup!$A$2:$B$5,2,FALSE)</f>
        <v>Spring</v>
      </c>
      <c r="R549" t="str">
        <f>TEXT(DATE(2026,E549,1),"mmmm")</f>
        <v>January</v>
      </c>
      <c r="S549" t="str">
        <f>IF(OR(H549=0,H549=6),"Weekend","Weekday")</f>
        <v>Weekday</v>
      </c>
      <c r="T549" s="1" t="str">
        <f>VLOOKUP(I549,[1]Lookup!$D$2:$E$5,2,FALSE)</f>
        <v>Mist / Cloudy</v>
      </c>
      <c r="U549" s="1" t="str">
        <f>IF(F549&lt;6,"Night",
IF(F549&lt;12,"Morning",
IF(F549&lt;17,"Afternoon",
IF(F549&lt;21,"Evening","Night"))))</f>
        <v>Night</v>
      </c>
      <c r="V549" s="1" t="str">
        <f>IF(J549&lt;0.3,"Cold",
IF(J549&lt;0.6,"Pleasant","Hot"))</f>
        <v>Cold</v>
      </c>
      <c r="W549" s="1" t="str">
        <f>IF(L549&lt;0.4,"Low",
IF(L549&lt;0.7,"Medium","High"))</f>
        <v>Medium</v>
      </c>
      <c r="X549" s="1" t="str">
        <f>IF(M549&lt;0.2,"Low",
IF(M549&lt;0.4,"Medium","High"))</f>
        <v>Medium</v>
      </c>
      <c r="Y549" s="1" t="str">
        <f>IF(P549&lt;100,"Low",
IF(P549&lt;300,"Medium","High"))</f>
        <v>Low</v>
      </c>
    </row>
    <row r="550" spans="1:25" x14ac:dyDescent="0.3">
      <c r="A550">
        <v>549</v>
      </c>
      <c r="B550" s="2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 t="str">
        <f>VLOOKUP(MasterData[[#This Row],[season]],[1]Lookup!$A$2:$B$5,2,FALSE)</f>
        <v>Spring</v>
      </c>
      <c r="R550" t="str">
        <f>TEXT(DATE(2026,E550,1),"mmmm")</f>
        <v>January</v>
      </c>
      <c r="S550" t="str">
        <f>IF(OR(H550=0,H550=6),"Weekend","Weekday")</f>
        <v>Weekday</v>
      </c>
      <c r="T550" s="1" t="str">
        <f>VLOOKUP(I550,[1]Lookup!$D$2:$E$5,2,FALSE)</f>
        <v>Mist / Cloudy</v>
      </c>
      <c r="U550" s="1" t="str">
        <f>IF(F550&lt;6,"Night",
IF(F550&lt;12,"Morning",
IF(F550&lt;17,"Afternoon",
IF(F550&lt;21,"Evening","Night"))))</f>
        <v>Night</v>
      </c>
      <c r="V550" s="1" t="str">
        <f>IF(J550&lt;0.3,"Cold",
IF(J550&lt;0.6,"Pleasant","Hot"))</f>
        <v>Cold</v>
      </c>
      <c r="W550" s="1" t="str">
        <f>IF(L550&lt;0.4,"Low",
IF(L550&lt;0.7,"Medium","High"))</f>
        <v>Medium</v>
      </c>
      <c r="X550" s="1" t="str">
        <f>IF(M550&lt;0.2,"Low",
IF(M550&lt;0.4,"Medium","High"))</f>
        <v>Medium</v>
      </c>
      <c r="Y550" s="1" t="str">
        <f>IF(P550&lt;100,"Low",
IF(P550&lt;300,"Medium","High"))</f>
        <v>Low</v>
      </c>
    </row>
    <row r="551" spans="1:25" x14ac:dyDescent="0.3">
      <c r="A551">
        <v>550</v>
      </c>
      <c r="B551" s="2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 t="str">
        <f>VLOOKUP(MasterData[[#This Row],[season]],[1]Lookup!$A$2:$B$5,2,FALSE)</f>
        <v>Spring</v>
      </c>
      <c r="R551" t="str">
        <f>TEXT(DATE(2026,E551,1),"mmmm")</f>
        <v>January</v>
      </c>
      <c r="S551" t="str">
        <f>IF(OR(H551=0,H551=6),"Weekend","Weekday")</f>
        <v>Weekday</v>
      </c>
      <c r="T551" s="1" t="str">
        <f>VLOOKUP(I551,[1]Lookup!$D$2:$E$5,2,FALSE)</f>
        <v>Mist / Cloudy</v>
      </c>
      <c r="U551" s="1" t="str">
        <f>IF(F551&lt;6,"Night",
IF(F551&lt;12,"Morning",
IF(F551&lt;17,"Afternoon",
IF(F551&lt;21,"Evening","Night"))))</f>
        <v>Night</v>
      </c>
      <c r="V551" s="1" t="str">
        <f>IF(J551&lt;0.3,"Cold",
IF(J551&lt;0.6,"Pleasant","Hot"))</f>
        <v>Cold</v>
      </c>
      <c r="W551" s="1" t="str">
        <f>IF(L551&lt;0.4,"Low",
IF(L551&lt;0.7,"Medium","High"))</f>
        <v>Medium</v>
      </c>
      <c r="X551" s="1" t="str">
        <f>IF(M551&lt;0.2,"Low",
IF(M551&lt;0.4,"Medium","High"))</f>
        <v>Low</v>
      </c>
      <c r="Y551" s="1" t="str">
        <f>IF(P551&lt;100,"Low",
IF(P551&lt;300,"Medium","High"))</f>
        <v>Low</v>
      </c>
    </row>
    <row r="552" spans="1:25" x14ac:dyDescent="0.3">
      <c r="A552">
        <v>551</v>
      </c>
      <c r="B552" s="2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 t="str">
        <f>VLOOKUP(MasterData[[#This Row],[season]],[1]Lookup!$A$2:$B$5,2,FALSE)</f>
        <v>Spring</v>
      </c>
      <c r="R552" t="str">
        <f>TEXT(DATE(2026,E552,1),"mmmm")</f>
        <v>January</v>
      </c>
      <c r="S552" t="str">
        <f>IF(OR(H552=0,H552=6),"Weekend","Weekday")</f>
        <v>Weekday</v>
      </c>
      <c r="T552" s="1" t="str">
        <f>VLOOKUP(I552,[1]Lookup!$D$2:$E$5,2,FALSE)</f>
        <v>Clear</v>
      </c>
      <c r="U552" s="1" t="str">
        <f>IF(F552&lt;6,"Night",
IF(F552&lt;12,"Morning",
IF(F552&lt;17,"Afternoon",
IF(F552&lt;21,"Evening","Night"))))</f>
        <v>Night</v>
      </c>
      <c r="V552" s="1" t="str">
        <f>IF(J552&lt;0.3,"Cold",
IF(J552&lt;0.6,"Pleasant","Hot"))</f>
        <v>Cold</v>
      </c>
      <c r="W552" s="1" t="str">
        <f>IF(L552&lt;0.4,"Low",
IF(L552&lt;0.7,"Medium","High"))</f>
        <v>Medium</v>
      </c>
      <c r="X552" s="1" t="str">
        <f>IF(M552&lt;0.2,"Low",
IF(M552&lt;0.4,"Medium","High"))</f>
        <v>Medium</v>
      </c>
      <c r="Y552" s="1" t="str">
        <f>IF(P552&lt;100,"Low",
IF(P552&lt;300,"Medium","High"))</f>
        <v>Low</v>
      </c>
    </row>
    <row r="553" spans="1:25" x14ac:dyDescent="0.3">
      <c r="A553">
        <v>552</v>
      </c>
      <c r="B553" s="2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 t="str">
        <f>VLOOKUP(MasterData[[#This Row],[season]],[1]Lookup!$A$2:$B$5,2,FALSE)</f>
        <v>Spring</v>
      </c>
      <c r="R553" t="str">
        <f>TEXT(DATE(2026,E553,1),"mmmm")</f>
        <v>January</v>
      </c>
      <c r="S553" t="str">
        <f>IF(OR(H553=0,H553=6),"Weekend","Weekday")</f>
        <v>Weekday</v>
      </c>
      <c r="T553" s="1" t="str">
        <f>VLOOKUP(I553,[1]Lookup!$D$2:$E$5,2,FALSE)</f>
        <v>Clear</v>
      </c>
      <c r="U553" s="1" t="str">
        <f>IF(F553&lt;6,"Night",
IF(F553&lt;12,"Morning",
IF(F553&lt;17,"Afternoon",
IF(F553&lt;21,"Evening","Night"))))</f>
        <v>Night</v>
      </c>
      <c r="V553" s="1" t="str">
        <f>IF(J553&lt;0.3,"Cold",
IF(J553&lt;0.6,"Pleasant","Hot"))</f>
        <v>Cold</v>
      </c>
      <c r="W553" s="1" t="str">
        <f>IF(L553&lt;0.4,"Low",
IF(L553&lt;0.7,"Medium","High"))</f>
        <v>High</v>
      </c>
      <c r="X553" s="1" t="str">
        <f>IF(M553&lt;0.2,"Low",
IF(M553&lt;0.4,"Medium","High"))</f>
        <v>Low</v>
      </c>
      <c r="Y553" s="1" t="str">
        <f>IF(P553&lt;100,"Low",
IF(P553&lt;300,"Medium","High"))</f>
        <v>Low</v>
      </c>
    </row>
    <row r="554" spans="1:25" x14ac:dyDescent="0.3">
      <c r="A554">
        <v>553</v>
      </c>
      <c r="B554" s="2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 t="str">
        <f>VLOOKUP(MasterData[[#This Row],[season]],[1]Lookup!$A$2:$B$5,2,FALSE)</f>
        <v>Spring</v>
      </c>
      <c r="R554" t="str">
        <f>TEXT(DATE(2026,E554,1),"mmmm")</f>
        <v>January</v>
      </c>
      <c r="S554" t="str">
        <f>IF(OR(H554=0,H554=6),"Weekend","Weekday")</f>
        <v>Weekday</v>
      </c>
      <c r="T554" s="1" t="str">
        <f>VLOOKUP(I554,[1]Lookup!$D$2:$E$5,2,FALSE)</f>
        <v>Clear</v>
      </c>
      <c r="U554" s="1" t="str">
        <f>IF(F554&lt;6,"Night",
IF(F554&lt;12,"Morning",
IF(F554&lt;17,"Afternoon",
IF(F554&lt;21,"Evening","Night"))))</f>
        <v>Night</v>
      </c>
      <c r="V554" s="1" t="str">
        <f>IF(J554&lt;0.3,"Cold",
IF(J554&lt;0.6,"Pleasant","Hot"))</f>
        <v>Cold</v>
      </c>
      <c r="W554" s="1" t="str">
        <f>IF(L554&lt;0.4,"Low",
IF(L554&lt;0.7,"Medium","High"))</f>
        <v>High</v>
      </c>
      <c r="X554" s="1" t="str">
        <f>IF(M554&lt;0.2,"Low",
IF(M554&lt;0.4,"Medium","High"))</f>
        <v>Medium</v>
      </c>
      <c r="Y554" s="1" t="str">
        <f>IF(P554&lt;100,"Low",
IF(P554&lt;300,"Medium","High"))</f>
        <v>Low</v>
      </c>
    </row>
    <row r="555" spans="1:25" x14ac:dyDescent="0.3">
      <c r="A555">
        <v>554</v>
      </c>
      <c r="B555" s="2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  <c r="Q555" t="str">
        <f>VLOOKUP(MasterData[[#This Row],[season]],[1]Lookup!$A$2:$B$5,2,FALSE)</f>
        <v>Spring</v>
      </c>
      <c r="R555" t="str">
        <f>TEXT(DATE(2026,E555,1),"mmmm")</f>
        <v>January</v>
      </c>
      <c r="S555" t="str">
        <f>IF(OR(H555=0,H555=6),"Weekend","Weekday")</f>
        <v>Weekday</v>
      </c>
      <c r="T555" s="1" t="str">
        <f>VLOOKUP(I555,[1]Lookup!$D$2:$E$5,2,FALSE)</f>
        <v>Clear</v>
      </c>
      <c r="U555" s="1" t="str">
        <f>IF(F555&lt;6,"Night",
IF(F555&lt;12,"Morning",
IF(F555&lt;17,"Afternoon",
IF(F555&lt;21,"Evening","Night"))))</f>
        <v>Morning</v>
      </c>
      <c r="V555" s="1" t="str">
        <f>IF(J555&lt;0.3,"Cold",
IF(J555&lt;0.6,"Pleasant","Hot"))</f>
        <v>Cold</v>
      </c>
      <c r="W555" s="1" t="str">
        <f>IF(L555&lt;0.4,"Low",
IF(L555&lt;0.7,"Medium","High"))</f>
        <v>High</v>
      </c>
      <c r="X555" s="1" t="str">
        <f>IF(M555&lt;0.2,"Low",
IF(M555&lt;0.4,"Medium","High"))</f>
        <v>Low</v>
      </c>
      <c r="Y555" s="1" t="str">
        <f>IF(P555&lt;100,"Low",
IF(P555&lt;300,"Medium","High"))</f>
        <v>Low</v>
      </c>
    </row>
    <row r="556" spans="1:25" x14ac:dyDescent="0.3">
      <c r="A556">
        <v>555</v>
      </c>
      <c r="B556" s="2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 t="str">
        <f>VLOOKUP(MasterData[[#This Row],[season]],[1]Lookup!$A$2:$B$5,2,FALSE)</f>
        <v>Spring</v>
      </c>
      <c r="R556" t="str">
        <f>TEXT(DATE(2026,E556,1),"mmmm")</f>
        <v>January</v>
      </c>
      <c r="S556" t="str">
        <f>IF(OR(H556=0,H556=6),"Weekend","Weekday")</f>
        <v>Weekday</v>
      </c>
      <c r="T556" s="1" t="str">
        <f>VLOOKUP(I556,[1]Lookup!$D$2:$E$5,2,FALSE)</f>
        <v>Clear</v>
      </c>
      <c r="U556" s="1" t="str">
        <f>IF(F556&lt;6,"Night",
IF(F556&lt;12,"Morning",
IF(F556&lt;17,"Afternoon",
IF(F556&lt;21,"Evening","Night"))))</f>
        <v>Morning</v>
      </c>
      <c r="V556" s="1" t="str">
        <f>IF(J556&lt;0.3,"Cold",
IF(J556&lt;0.6,"Pleasant","Hot"))</f>
        <v>Cold</v>
      </c>
      <c r="W556" s="1" t="str">
        <f>IF(L556&lt;0.4,"Low",
IF(L556&lt;0.7,"Medium","High"))</f>
        <v>High</v>
      </c>
      <c r="X556" s="1" t="str">
        <f>IF(M556&lt;0.2,"Low",
IF(M556&lt;0.4,"Medium","High"))</f>
        <v>Medium</v>
      </c>
      <c r="Y556" s="1" t="str">
        <f>IF(P556&lt;100,"Low",
IF(P556&lt;300,"Medium","High"))</f>
        <v>Medium</v>
      </c>
    </row>
    <row r="557" spans="1:25" x14ac:dyDescent="0.3">
      <c r="A557">
        <v>556</v>
      </c>
      <c r="B557" s="2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 t="str">
        <f>VLOOKUP(MasterData[[#This Row],[season]],[1]Lookup!$A$2:$B$5,2,FALSE)</f>
        <v>Spring</v>
      </c>
      <c r="R557" t="str">
        <f>TEXT(DATE(2026,E557,1),"mmmm")</f>
        <v>January</v>
      </c>
      <c r="S557" t="str">
        <f>IF(OR(H557=0,H557=6),"Weekend","Weekday")</f>
        <v>Weekday</v>
      </c>
      <c r="T557" s="1" t="str">
        <f>VLOOKUP(I557,[1]Lookup!$D$2:$E$5,2,FALSE)</f>
        <v>Mist / Cloudy</v>
      </c>
      <c r="U557" s="1" t="str">
        <f>IF(F557&lt;6,"Night",
IF(F557&lt;12,"Morning",
IF(F557&lt;17,"Afternoon",
IF(F557&lt;21,"Evening","Night"))))</f>
        <v>Morning</v>
      </c>
      <c r="V557" s="1" t="str">
        <f>IF(J557&lt;0.3,"Cold",
IF(J557&lt;0.6,"Pleasant","Hot"))</f>
        <v>Cold</v>
      </c>
      <c r="W557" s="1" t="str">
        <f>IF(L557&lt;0.4,"Low",
IF(L557&lt;0.7,"Medium","High"))</f>
        <v>High</v>
      </c>
      <c r="X557" s="1" t="str">
        <f>IF(M557&lt;0.2,"Low",
IF(M557&lt;0.4,"Medium","High"))</f>
        <v>Low</v>
      </c>
      <c r="Y557" s="1" t="str">
        <f>IF(P557&lt;100,"Low",
IF(P557&lt;300,"Medium","High"))</f>
        <v>Medium</v>
      </c>
    </row>
    <row r="558" spans="1:25" x14ac:dyDescent="0.3">
      <c r="A558">
        <v>557</v>
      </c>
      <c r="B558" s="2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 t="str">
        <f>VLOOKUP(MasterData[[#This Row],[season]],[1]Lookup!$A$2:$B$5,2,FALSE)</f>
        <v>Spring</v>
      </c>
      <c r="R558" t="str">
        <f>TEXT(DATE(2026,E558,1),"mmmm")</f>
        <v>January</v>
      </c>
      <c r="S558" t="str">
        <f>IF(OR(H558=0,H558=6),"Weekend","Weekday")</f>
        <v>Weekday</v>
      </c>
      <c r="T558" s="1" t="str">
        <f>VLOOKUP(I558,[1]Lookup!$D$2:$E$5,2,FALSE)</f>
        <v>Mist / Cloudy</v>
      </c>
      <c r="U558" s="1" t="str">
        <f>IF(F558&lt;6,"Night",
IF(F558&lt;12,"Morning",
IF(F558&lt;17,"Afternoon",
IF(F558&lt;21,"Evening","Night"))))</f>
        <v>Morning</v>
      </c>
      <c r="V558" s="1" t="str">
        <f>IF(J558&lt;0.3,"Cold",
IF(J558&lt;0.6,"Pleasant","Hot"))</f>
        <v>Cold</v>
      </c>
      <c r="W558" s="1" t="str">
        <f>IF(L558&lt;0.4,"Low",
IF(L558&lt;0.7,"Medium","High"))</f>
        <v>Medium</v>
      </c>
      <c r="X558" s="1" t="str">
        <f>IF(M558&lt;0.2,"Low",
IF(M558&lt;0.4,"Medium","High"))</f>
        <v>Low</v>
      </c>
      <c r="Y558" s="1" t="str">
        <f>IF(P558&lt;100,"Low",
IF(P558&lt;300,"Medium","High"))</f>
        <v>Medium</v>
      </c>
    </row>
    <row r="559" spans="1:25" x14ac:dyDescent="0.3">
      <c r="A559">
        <v>558</v>
      </c>
      <c r="B559" s="2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 t="str">
        <f>VLOOKUP(MasterData[[#This Row],[season]],[1]Lookup!$A$2:$B$5,2,FALSE)</f>
        <v>Spring</v>
      </c>
      <c r="R559" t="str">
        <f>TEXT(DATE(2026,E559,1),"mmmm")</f>
        <v>January</v>
      </c>
      <c r="S559" t="str">
        <f>IF(OR(H559=0,H559=6),"Weekend","Weekday")</f>
        <v>Weekday</v>
      </c>
      <c r="T559" s="1" t="str">
        <f>VLOOKUP(I559,[1]Lookup!$D$2:$E$5,2,FALSE)</f>
        <v>Mist / Cloudy</v>
      </c>
      <c r="U559" s="1" t="str">
        <f>IF(F559&lt;6,"Night",
IF(F559&lt;12,"Morning",
IF(F559&lt;17,"Afternoon",
IF(F559&lt;21,"Evening","Night"))))</f>
        <v>Morning</v>
      </c>
      <c r="V559" s="1" t="str">
        <f>IF(J559&lt;0.3,"Cold",
IF(J559&lt;0.6,"Pleasant","Hot"))</f>
        <v>Cold</v>
      </c>
      <c r="W559" s="1" t="str">
        <f>IF(L559&lt;0.4,"Low",
IF(L559&lt;0.7,"Medium","High"))</f>
        <v>Medium</v>
      </c>
      <c r="X559" s="1" t="str">
        <f>IF(M559&lt;0.2,"Low",
IF(M559&lt;0.4,"Medium","High"))</f>
        <v>Low</v>
      </c>
      <c r="Y559" s="1" t="str">
        <f>IF(P559&lt;100,"Low",
IF(P559&lt;300,"Medium","High"))</f>
        <v>Low</v>
      </c>
    </row>
    <row r="560" spans="1:25" x14ac:dyDescent="0.3">
      <c r="A560">
        <v>559</v>
      </c>
      <c r="B560" s="2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  <c r="Q560" t="str">
        <f>VLOOKUP(MasterData[[#This Row],[season]],[1]Lookup!$A$2:$B$5,2,FALSE)</f>
        <v>Spring</v>
      </c>
      <c r="R560" t="str">
        <f>TEXT(DATE(2026,E560,1),"mmmm")</f>
        <v>January</v>
      </c>
      <c r="S560" t="str">
        <f>IF(OR(H560=0,H560=6),"Weekend","Weekday")</f>
        <v>Weekday</v>
      </c>
      <c r="T560" s="1" t="str">
        <f>VLOOKUP(I560,[1]Lookup!$D$2:$E$5,2,FALSE)</f>
        <v>Mist / Cloudy</v>
      </c>
      <c r="U560" s="1" t="str">
        <f>IF(F560&lt;6,"Night",
IF(F560&lt;12,"Morning",
IF(F560&lt;17,"Afternoon",
IF(F560&lt;21,"Evening","Night"))))</f>
        <v>Morning</v>
      </c>
      <c r="V560" s="1" t="str">
        <f>IF(J560&lt;0.3,"Cold",
IF(J560&lt;0.6,"Pleasant","Hot"))</f>
        <v>Cold</v>
      </c>
      <c r="W560" s="1" t="str">
        <f>IF(L560&lt;0.4,"Low",
IF(L560&lt;0.7,"Medium","High"))</f>
        <v>Medium</v>
      </c>
      <c r="X560" s="1" t="str">
        <f>IF(M560&lt;0.2,"Low",
IF(M560&lt;0.4,"Medium","High"))</f>
        <v>Low</v>
      </c>
      <c r="Y560" s="1" t="str">
        <f>IF(P560&lt;100,"Low",
IF(P560&lt;300,"Medium","High"))</f>
        <v>Low</v>
      </c>
    </row>
    <row r="561" spans="1:25" x14ac:dyDescent="0.3">
      <c r="A561">
        <v>560</v>
      </c>
      <c r="B561" s="2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 t="str">
        <f>VLOOKUP(MasterData[[#This Row],[season]],[1]Lookup!$A$2:$B$5,2,FALSE)</f>
        <v>Spring</v>
      </c>
      <c r="R561" t="str">
        <f>TEXT(DATE(2026,E561,1),"mmmm")</f>
        <v>January</v>
      </c>
      <c r="S561" t="str">
        <f>IF(OR(H561=0,H561=6),"Weekend","Weekday")</f>
        <v>Weekday</v>
      </c>
      <c r="T561" s="1" t="str">
        <f>VLOOKUP(I561,[1]Lookup!$D$2:$E$5,2,FALSE)</f>
        <v>Mist / Cloudy</v>
      </c>
      <c r="U561" s="1" t="str">
        <f>IF(F561&lt;6,"Night",
IF(F561&lt;12,"Morning",
IF(F561&lt;17,"Afternoon",
IF(F561&lt;21,"Evening","Night"))))</f>
        <v>Afternoon</v>
      </c>
      <c r="V561" s="1" t="str">
        <f>IF(J561&lt;0.3,"Cold",
IF(J561&lt;0.6,"Pleasant","Hot"))</f>
        <v>Cold</v>
      </c>
      <c r="W561" s="1" t="str">
        <f>IF(L561&lt;0.4,"Low",
IF(L561&lt;0.7,"Medium","High"))</f>
        <v>Medium</v>
      </c>
      <c r="X561" s="1" t="str">
        <f>IF(M561&lt;0.2,"Low",
IF(M561&lt;0.4,"Medium","High"))</f>
        <v>Low</v>
      </c>
      <c r="Y561" s="1" t="str">
        <f>IF(P561&lt;100,"Low",
IF(P561&lt;300,"Medium","High"))</f>
        <v>Medium</v>
      </c>
    </row>
    <row r="562" spans="1:25" x14ac:dyDescent="0.3">
      <c r="A562">
        <v>561</v>
      </c>
      <c r="B562" s="2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 t="str">
        <f>VLOOKUP(MasterData[[#This Row],[season]],[1]Lookup!$A$2:$B$5,2,FALSE)</f>
        <v>Spring</v>
      </c>
      <c r="R562" t="str">
        <f>TEXT(DATE(2026,E562,1),"mmmm")</f>
        <v>January</v>
      </c>
      <c r="S562" t="str">
        <f>IF(OR(H562=0,H562=6),"Weekend","Weekday")</f>
        <v>Weekday</v>
      </c>
      <c r="T562" s="1" t="str">
        <f>VLOOKUP(I562,[1]Lookup!$D$2:$E$5,2,FALSE)</f>
        <v>Mist / Cloudy</v>
      </c>
      <c r="U562" s="1" t="str">
        <f>IF(F562&lt;6,"Night",
IF(F562&lt;12,"Morning",
IF(F562&lt;17,"Afternoon",
IF(F562&lt;21,"Evening","Night"))))</f>
        <v>Afternoon</v>
      </c>
      <c r="V562" s="1" t="str">
        <f>IF(J562&lt;0.3,"Cold",
IF(J562&lt;0.6,"Pleasant","Hot"))</f>
        <v>Cold</v>
      </c>
      <c r="W562" s="1" t="str">
        <f>IF(L562&lt;0.4,"Low",
IF(L562&lt;0.7,"Medium","High"))</f>
        <v>Medium</v>
      </c>
      <c r="X562" s="1" t="str">
        <f>IF(M562&lt;0.2,"Low",
IF(M562&lt;0.4,"Medium","High"))</f>
        <v>Low</v>
      </c>
      <c r="Y562" s="1" t="str">
        <f>IF(P562&lt;100,"Low",
IF(P562&lt;300,"Medium","High"))</f>
        <v>Low</v>
      </c>
    </row>
    <row r="563" spans="1:25" x14ac:dyDescent="0.3">
      <c r="A563">
        <v>562</v>
      </c>
      <c r="B563" s="2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  <c r="Q563" t="str">
        <f>VLOOKUP(MasterData[[#This Row],[season]],[1]Lookup!$A$2:$B$5,2,FALSE)</f>
        <v>Spring</v>
      </c>
      <c r="R563" t="str">
        <f>TEXT(DATE(2026,E563,1),"mmmm")</f>
        <v>January</v>
      </c>
      <c r="S563" t="str">
        <f>IF(OR(H563=0,H563=6),"Weekend","Weekday")</f>
        <v>Weekday</v>
      </c>
      <c r="T563" s="1" t="str">
        <f>VLOOKUP(I563,[1]Lookup!$D$2:$E$5,2,FALSE)</f>
        <v>Mist / Cloudy</v>
      </c>
      <c r="U563" s="1" t="str">
        <f>IF(F563&lt;6,"Night",
IF(F563&lt;12,"Morning",
IF(F563&lt;17,"Afternoon",
IF(F563&lt;21,"Evening","Night"))))</f>
        <v>Afternoon</v>
      </c>
      <c r="V563" s="1" t="str">
        <f>IF(J563&lt;0.3,"Cold",
IF(J563&lt;0.6,"Pleasant","Hot"))</f>
        <v>Pleasant</v>
      </c>
      <c r="W563" s="1" t="str">
        <f>IF(L563&lt;0.4,"Low",
IF(L563&lt;0.7,"Medium","High"))</f>
        <v>Medium</v>
      </c>
      <c r="X563" s="1" t="str">
        <f>IF(M563&lt;0.2,"Low",
IF(M563&lt;0.4,"Medium","High"))</f>
        <v>Low</v>
      </c>
      <c r="Y563" s="1" t="str">
        <f>IF(P563&lt;100,"Low",
IF(P563&lt;300,"Medium","High"))</f>
        <v>Low</v>
      </c>
    </row>
    <row r="564" spans="1:25" x14ac:dyDescent="0.3">
      <c r="A564">
        <v>563</v>
      </c>
      <c r="B564" s="2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 t="str">
        <f>VLOOKUP(MasterData[[#This Row],[season]],[1]Lookup!$A$2:$B$5,2,FALSE)</f>
        <v>Spring</v>
      </c>
      <c r="R564" t="str">
        <f>TEXT(DATE(2026,E564,1),"mmmm")</f>
        <v>January</v>
      </c>
      <c r="S564" t="str">
        <f>IF(OR(H564=0,H564=6),"Weekend","Weekday")</f>
        <v>Weekday</v>
      </c>
      <c r="T564" s="1" t="str">
        <f>VLOOKUP(I564,[1]Lookup!$D$2:$E$5,2,FALSE)</f>
        <v>Mist / Cloudy</v>
      </c>
      <c r="U564" s="1" t="str">
        <f>IF(F564&lt;6,"Night",
IF(F564&lt;12,"Morning",
IF(F564&lt;17,"Afternoon",
IF(F564&lt;21,"Evening","Night"))))</f>
        <v>Afternoon</v>
      </c>
      <c r="V564" s="1" t="str">
        <f>IF(J564&lt;0.3,"Cold",
IF(J564&lt;0.6,"Pleasant","Hot"))</f>
        <v>Pleasant</v>
      </c>
      <c r="W564" s="1" t="str">
        <f>IF(L564&lt;0.4,"Low",
IF(L564&lt;0.7,"Medium","High"))</f>
        <v>Medium</v>
      </c>
      <c r="X564" s="1" t="str">
        <f>IF(M564&lt;0.2,"Low",
IF(M564&lt;0.4,"Medium","High"))</f>
        <v>Low</v>
      </c>
      <c r="Y564" s="1" t="str">
        <f>IF(P564&lt;100,"Low",
IF(P564&lt;300,"Medium","High"))</f>
        <v>Low</v>
      </c>
    </row>
    <row r="565" spans="1:25" x14ac:dyDescent="0.3">
      <c r="A565">
        <v>564</v>
      </c>
      <c r="B565" s="2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  <c r="Q565" t="str">
        <f>VLOOKUP(MasterData[[#This Row],[season]],[1]Lookup!$A$2:$B$5,2,FALSE)</f>
        <v>Spring</v>
      </c>
      <c r="R565" t="str">
        <f>TEXT(DATE(2026,E565,1),"mmmm")</f>
        <v>January</v>
      </c>
      <c r="S565" t="str">
        <f>IF(OR(H565=0,H565=6),"Weekend","Weekday")</f>
        <v>Weekday</v>
      </c>
      <c r="T565" s="1" t="str">
        <f>VLOOKUP(I565,[1]Lookup!$D$2:$E$5,2,FALSE)</f>
        <v>Mist / Cloudy</v>
      </c>
      <c r="U565" s="1" t="str">
        <f>IF(F565&lt;6,"Night",
IF(F565&lt;12,"Morning",
IF(F565&lt;17,"Afternoon",
IF(F565&lt;21,"Evening","Night"))))</f>
        <v>Afternoon</v>
      </c>
      <c r="V565" s="1" t="str">
        <f>IF(J565&lt;0.3,"Cold",
IF(J565&lt;0.6,"Pleasant","Hot"))</f>
        <v>Pleasant</v>
      </c>
      <c r="W565" s="1" t="str">
        <f>IF(L565&lt;0.4,"Low",
IF(L565&lt;0.7,"Medium","High"))</f>
        <v>Medium</v>
      </c>
      <c r="X565" s="1" t="str">
        <f>IF(M565&lt;0.2,"Low",
IF(M565&lt;0.4,"Medium","High"))</f>
        <v>Low</v>
      </c>
      <c r="Y565" s="1" t="str">
        <f>IF(P565&lt;100,"Low",
IF(P565&lt;300,"Medium","High"))</f>
        <v>Medium</v>
      </c>
    </row>
    <row r="566" spans="1:25" x14ac:dyDescent="0.3">
      <c r="A566">
        <v>565</v>
      </c>
      <c r="B566" s="2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  <c r="Q566" t="str">
        <f>VLOOKUP(MasterData[[#This Row],[season]],[1]Lookup!$A$2:$B$5,2,FALSE)</f>
        <v>Spring</v>
      </c>
      <c r="R566" t="str">
        <f>TEXT(DATE(2026,E566,1),"mmmm")</f>
        <v>January</v>
      </c>
      <c r="S566" t="str">
        <f>IF(OR(H566=0,H566=6),"Weekend","Weekday")</f>
        <v>Weekday</v>
      </c>
      <c r="T566" s="1" t="str">
        <f>VLOOKUP(I566,[1]Lookup!$D$2:$E$5,2,FALSE)</f>
        <v>Clear</v>
      </c>
      <c r="U566" s="1" t="str">
        <f>IF(F566&lt;6,"Night",
IF(F566&lt;12,"Morning",
IF(F566&lt;17,"Afternoon",
IF(F566&lt;21,"Evening","Night"))))</f>
        <v>Evening</v>
      </c>
      <c r="V566" s="1" t="str">
        <f>IF(J566&lt;0.3,"Cold",
IF(J566&lt;0.6,"Pleasant","Hot"))</f>
        <v>Pleasant</v>
      </c>
      <c r="W566" s="1" t="str">
        <f>IF(L566&lt;0.4,"Low",
IF(L566&lt;0.7,"Medium","High"))</f>
        <v>Medium</v>
      </c>
      <c r="X566" s="1" t="str">
        <f>IF(M566&lt;0.2,"Low",
IF(M566&lt;0.4,"Medium","High"))</f>
        <v>Low</v>
      </c>
      <c r="Y566" s="1" t="str">
        <f>IF(P566&lt;100,"Low",
IF(P566&lt;300,"Medium","High"))</f>
        <v>Medium</v>
      </c>
    </row>
    <row r="567" spans="1:25" x14ac:dyDescent="0.3">
      <c r="A567">
        <v>566</v>
      </c>
      <c r="B567" s="2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 t="str">
        <f>VLOOKUP(MasterData[[#This Row],[season]],[1]Lookup!$A$2:$B$5,2,FALSE)</f>
        <v>Spring</v>
      </c>
      <c r="R567" t="str">
        <f>TEXT(DATE(2026,E567,1),"mmmm")</f>
        <v>January</v>
      </c>
      <c r="S567" t="str">
        <f>IF(OR(H567=0,H567=6),"Weekend","Weekday")</f>
        <v>Weekday</v>
      </c>
      <c r="T567" s="1" t="str">
        <f>VLOOKUP(I567,[1]Lookup!$D$2:$E$5,2,FALSE)</f>
        <v>Mist / Cloudy</v>
      </c>
      <c r="U567" s="1" t="str">
        <f>IF(F567&lt;6,"Night",
IF(F567&lt;12,"Morning",
IF(F567&lt;17,"Afternoon",
IF(F567&lt;21,"Evening","Night"))))</f>
        <v>Evening</v>
      </c>
      <c r="V567" s="1" t="str">
        <f>IF(J567&lt;0.3,"Cold",
IF(J567&lt;0.6,"Pleasant","Hot"))</f>
        <v>Pleasant</v>
      </c>
      <c r="W567" s="1" t="str">
        <f>IF(L567&lt;0.4,"Low",
IF(L567&lt;0.7,"Medium","High"))</f>
        <v>Medium</v>
      </c>
      <c r="X567" s="1" t="str">
        <f>IF(M567&lt;0.2,"Low",
IF(M567&lt;0.4,"Medium","High"))</f>
        <v>Low</v>
      </c>
      <c r="Y567" s="1" t="str">
        <f>IF(P567&lt;100,"Low",
IF(P567&lt;300,"Medium","High"))</f>
        <v>Medium</v>
      </c>
    </row>
    <row r="568" spans="1:25" x14ac:dyDescent="0.3">
      <c r="A568">
        <v>567</v>
      </c>
      <c r="B568" s="2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 t="str">
        <f>VLOOKUP(MasterData[[#This Row],[season]],[1]Lookup!$A$2:$B$5,2,FALSE)</f>
        <v>Spring</v>
      </c>
      <c r="R568" t="str">
        <f>TEXT(DATE(2026,E568,1),"mmmm")</f>
        <v>January</v>
      </c>
      <c r="S568" t="str">
        <f>IF(OR(H568=0,H568=6),"Weekend","Weekday")</f>
        <v>Weekday</v>
      </c>
      <c r="T568" s="1" t="str">
        <f>VLOOKUP(I568,[1]Lookup!$D$2:$E$5,2,FALSE)</f>
        <v>Mist / Cloudy</v>
      </c>
      <c r="U568" s="1" t="str">
        <f>IF(F568&lt;6,"Night",
IF(F568&lt;12,"Morning",
IF(F568&lt;17,"Afternoon",
IF(F568&lt;21,"Evening","Night"))))</f>
        <v>Evening</v>
      </c>
      <c r="V568" s="1" t="str">
        <f>IF(J568&lt;0.3,"Cold",
IF(J568&lt;0.6,"Pleasant","Hot"))</f>
        <v>Cold</v>
      </c>
      <c r="W568" s="1" t="str">
        <f>IF(L568&lt;0.4,"Low",
IF(L568&lt;0.7,"Medium","High"))</f>
        <v>Medium</v>
      </c>
      <c r="X568" s="1" t="str">
        <f>IF(M568&lt;0.2,"Low",
IF(M568&lt;0.4,"Medium","High"))</f>
        <v>Low</v>
      </c>
      <c r="Y568" s="1" t="str">
        <f>IF(P568&lt;100,"Low",
IF(P568&lt;300,"Medium","High"))</f>
        <v>Medium</v>
      </c>
    </row>
    <row r="569" spans="1:25" x14ac:dyDescent="0.3">
      <c r="A569">
        <v>568</v>
      </c>
      <c r="B569" s="2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 t="str">
        <f>VLOOKUP(MasterData[[#This Row],[season]],[1]Lookup!$A$2:$B$5,2,FALSE)</f>
        <v>Spring</v>
      </c>
      <c r="R569" t="str">
        <f>TEXT(DATE(2026,E569,1),"mmmm")</f>
        <v>January</v>
      </c>
      <c r="S569" t="str">
        <f>IF(OR(H569=0,H569=6),"Weekend","Weekday")</f>
        <v>Weekday</v>
      </c>
      <c r="T569" s="1" t="str">
        <f>VLOOKUP(I569,[1]Lookup!$D$2:$E$5,2,FALSE)</f>
        <v>Clear</v>
      </c>
      <c r="U569" s="1" t="str">
        <f>IF(F569&lt;6,"Night",
IF(F569&lt;12,"Morning",
IF(F569&lt;17,"Afternoon",
IF(F569&lt;21,"Evening","Night"))))</f>
        <v>Evening</v>
      </c>
      <c r="V569" s="1" t="str">
        <f>IF(J569&lt;0.3,"Cold",
IF(J569&lt;0.6,"Pleasant","Hot"))</f>
        <v>Cold</v>
      </c>
      <c r="W569" s="1" t="str">
        <f>IF(L569&lt;0.4,"Low",
IF(L569&lt;0.7,"Medium","High"))</f>
        <v>Medium</v>
      </c>
      <c r="X569" s="1" t="str">
        <f>IF(M569&lt;0.2,"Low",
IF(M569&lt;0.4,"Medium","High"))</f>
        <v>Low</v>
      </c>
      <c r="Y569" s="1" t="str">
        <f>IF(P569&lt;100,"Low",
IF(P569&lt;300,"Medium","High"))</f>
        <v>Medium</v>
      </c>
    </row>
    <row r="570" spans="1:25" x14ac:dyDescent="0.3">
      <c r="A570">
        <v>569</v>
      </c>
      <c r="B570" s="2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 t="str">
        <f>VLOOKUP(MasterData[[#This Row],[season]],[1]Lookup!$A$2:$B$5,2,FALSE)</f>
        <v>Spring</v>
      </c>
      <c r="R570" t="str">
        <f>TEXT(DATE(2026,E570,1),"mmmm")</f>
        <v>January</v>
      </c>
      <c r="S570" t="str">
        <f>IF(OR(H570=0,H570=6),"Weekend","Weekday")</f>
        <v>Weekday</v>
      </c>
      <c r="T570" s="1" t="str">
        <f>VLOOKUP(I570,[1]Lookup!$D$2:$E$5,2,FALSE)</f>
        <v>Clear</v>
      </c>
      <c r="U570" s="1" t="str">
        <f>IF(F570&lt;6,"Night",
IF(F570&lt;12,"Morning",
IF(F570&lt;17,"Afternoon",
IF(F570&lt;21,"Evening","Night"))))</f>
        <v>Night</v>
      </c>
      <c r="V570" s="1" t="str">
        <f>IF(J570&lt;0.3,"Cold",
IF(J570&lt;0.6,"Pleasant","Hot"))</f>
        <v>Cold</v>
      </c>
      <c r="W570" s="1" t="str">
        <f>IF(L570&lt;0.4,"Low",
IF(L570&lt;0.7,"Medium","High"))</f>
        <v>Medium</v>
      </c>
      <c r="X570" s="1" t="str">
        <f>IF(M570&lt;0.2,"Low",
IF(M570&lt;0.4,"Medium","High"))</f>
        <v>Low</v>
      </c>
      <c r="Y570" s="1" t="str">
        <f>IF(P570&lt;100,"Low",
IF(P570&lt;300,"Medium","High"))</f>
        <v>Low</v>
      </c>
    </row>
    <row r="571" spans="1:25" x14ac:dyDescent="0.3">
      <c r="A571">
        <v>570</v>
      </c>
      <c r="B571" s="2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 t="str">
        <f>VLOOKUP(MasterData[[#This Row],[season]],[1]Lookup!$A$2:$B$5,2,FALSE)</f>
        <v>Spring</v>
      </c>
      <c r="R571" t="str">
        <f>TEXT(DATE(2026,E571,1),"mmmm")</f>
        <v>January</v>
      </c>
      <c r="S571" t="str">
        <f>IF(OR(H571=0,H571=6),"Weekend","Weekday")</f>
        <v>Weekday</v>
      </c>
      <c r="T571" s="1" t="str">
        <f>VLOOKUP(I571,[1]Lookup!$D$2:$E$5,2,FALSE)</f>
        <v>Clear</v>
      </c>
      <c r="U571" s="1" t="str">
        <f>IF(F571&lt;6,"Night",
IF(F571&lt;12,"Morning",
IF(F571&lt;17,"Afternoon",
IF(F571&lt;21,"Evening","Night"))))</f>
        <v>Night</v>
      </c>
      <c r="V571" s="1" t="str">
        <f>IF(J571&lt;0.3,"Cold",
IF(J571&lt;0.6,"Pleasant","Hot"))</f>
        <v>Cold</v>
      </c>
      <c r="W571" s="1" t="str">
        <f>IF(L571&lt;0.4,"Low",
IF(L571&lt;0.7,"Medium","High"))</f>
        <v>Medium</v>
      </c>
      <c r="X571" s="1" t="str">
        <f>IF(M571&lt;0.2,"Low",
IF(M571&lt;0.4,"Medium","High"))</f>
        <v>Low</v>
      </c>
      <c r="Y571" s="1" t="str">
        <f>IF(P571&lt;100,"Low",
IF(P571&lt;300,"Medium","High"))</f>
        <v>Low</v>
      </c>
    </row>
    <row r="572" spans="1:25" x14ac:dyDescent="0.3">
      <c r="A572">
        <v>571</v>
      </c>
      <c r="B572" s="2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 t="str">
        <f>VLOOKUP(MasterData[[#This Row],[season]],[1]Lookup!$A$2:$B$5,2,FALSE)</f>
        <v>Spring</v>
      </c>
      <c r="R572" t="str">
        <f>TEXT(DATE(2026,E572,1),"mmmm")</f>
        <v>January</v>
      </c>
      <c r="S572" t="str">
        <f>IF(OR(H572=0,H572=6),"Weekend","Weekday")</f>
        <v>Weekday</v>
      </c>
      <c r="T572" s="1" t="str">
        <f>VLOOKUP(I572,[1]Lookup!$D$2:$E$5,2,FALSE)</f>
        <v>Mist / Cloudy</v>
      </c>
      <c r="U572" s="1" t="str">
        <f>IF(F572&lt;6,"Night",
IF(F572&lt;12,"Morning",
IF(F572&lt;17,"Afternoon",
IF(F572&lt;21,"Evening","Night"))))</f>
        <v>Night</v>
      </c>
      <c r="V572" s="1" t="str">
        <f>IF(J572&lt;0.3,"Cold",
IF(J572&lt;0.6,"Pleasant","Hot"))</f>
        <v>Cold</v>
      </c>
      <c r="W572" s="1" t="str">
        <f>IF(L572&lt;0.4,"Low",
IF(L572&lt;0.7,"Medium","High"))</f>
        <v>Medium</v>
      </c>
      <c r="X572" s="1" t="str">
        <f>IF(M572&lt;0.2,"Low",
IF(M572&lt;0.4,"Medium","High"))</f>
        <v>Low</v>
      </c>
      <c r="Y572" s="1" t="str">
        <f>IF(P572&lt;100,"Low",
IF(P572&lt;300,"Medium","High"))</f>
        <v>Low</v>
      </c>
    </row>
    <row r="573" spans="1:25" x14ac:dyDescent="0.3">
      <c r="A573">
        <v>572</v>
      </c>
      <c r="B573" s="2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  <c r="Q573" t="str">
        <f>VLOOKUP(MasterData[[#This Row],[season]],[1]Lookup!$A$2:$B$5,2,FALSE)</f>
        <v>Spring</v>
      </c>
      <c r="R573" t="str">
        <f>TEXT(DATE(2026,E573,1),"mmmm")</f>
        <v>January</v>
      </c>
      <c r="S573" t="str">
        <f>IF(OR(H573=0,H573=6),"Weekend","Weekday")</f>
        <v>Weekday</v>
      </c>
      <c r="T573" s="1" t="str">
        <f>VLOOKUP(I573,[1]Lookup!$D$2:$E$5,2,FALSE)</f>
        <v>Mist / Cloudy</v>
      </c>
      <c r="U573" s="1" t="str">
        <f>IF(F573&lt;6,"Night",
IF(F573&lt;12,"Morning",
IF(F573&lt;17,"Afternoon",
IF(F573&lt;21,"Evening","Night"))))</f>
        <v>Night</v>
      </c>
      <c r="V573" s="1" t="str">
        <f>IF(J573&lt;0.3,"Cold",
IF(J573&lt;0.6,"Pleasant","Hot"))</f>
        <v>Cold</v>
      </c>
      <c r="W573" s="1" t="str">
        <f>IF(L573&lt;0.4,"Low",
IF(L573&lt;0.7,"Medium","High"))</f>
        <v>Medium</v>
      </c>
      <c r="X573" s="1" t="str">
        <f>IF(M573&lt;0.2,"Low",
IF(M573&lt;0.4,"Medium","High"))</f>
        <v>Low</v>
      </c>
      <c r="Y573" s="1" t="str">
        <f>IF(P573&lt;100,"Low",
IF(P573&lt;300,"Medium","High"))</f>
        <v>Low</v>
      </c>
    </row>
    <row r="574" spans="1:25" x14ac:dyDescent="0.3">
      <c r="A574">
        <v>573</v>
      </c>
      <c r="B574" s="2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  <c r="Q574" t="str">
        <f>VLOOKUP(MasterData[[#This Row],[season]],[1]Lookup!$A$2:$B$5,2,FALSE)</f>
        <v>Spring</v>
      </c>
      <c r="R574" t="str">
        <f>TEXT(DATE(2026,E574,1),"mmmm")</f>
        <v>January</v>
      </c>
      <c r="S574" t="str">
        <f>IF(OR(H574=0,H574=6),"Weekend","Weekday")</f>
        <v>Weekday</v>
      </c>
      <c r="T574" s="1" t="str">
        <f>VLOOKUP(I574,[1]Lookup!$D$2:$E$5,2,FALSE)</f>
        <v>Mist / Cloudy</v>
      </c>
      <c r="U574" s="1" t="str">
        <f>IF(F574&lt;6,"Night",
IF(F574&lt;12,"Morning",
IF(F574&lt;17,"Afternoon",
IF(F574&lt;21,"Evening","Night"))))</f>
        <v>Night</v>
      </c>
      <c r="V574" s="1" t="str">
        <f>IF(J574&lt;0.3,"Cold",
IF(J574&lt;0.6,"Pleasant","Hot"))</f>
        <v>Cold</v>
      </c>
      <c r="W574" s="1" t="str">
        <f>IF(L574&lt;0.4,"Low",
IF(L574&lt;0.7,"Medium","High"))</f>
        <v>Medium</v>
      </c>
      <c r="X574" s="1" t="str">
        <f>IF(M574&lt;0.2,"Low",
IF(M574&lt;0.4,"Medium","High"))</f>
        <v>Low</v>
      </c>
      <c r="Y574" s="1" t="str">
        <f>IF(P574&lt;100,"Low",
IF(P574&lt;300,"Medium","High"))</f>
        <v>Low</v>
      </c>
    </row>
    <row r="575" spans="1:25" x14ac:dyDescent="0.3">
      <c r="A575">
        <v>574</v>
      </c>
      <c r="B575" s="2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 t="str">
        <f>VLOOKUP(MasterData[[#This Row],[season]],[1]Lookup!$A$2:$B$5,2,FALSE)</f>
        <v>Spring</v>
      </c>
      <c r="R575" t="str">
        <f>TEXT(DATE(2026,E575,1),"mmmm")</f>
        <v>January</v>
      </c>
      <c r="S575" t="str">
        <f>IF(OR(H575=0,H575=6),"Weekend","Weekday")</f>
        <v>Weekday</v>
      </c>
      <c r="T575" s="1" t="str">
        <f>VLOOKUP(I575,[1]Lookup!$D$2:$E$5,2,FALSE)</f>
        <v>Light Rain / Snow</v>
      </c>
      <c r="U575" s="1" t="str">
        <f>IF(F575&lt;6,"Night",
IF(F575&lt;12,"Morning",
IF(F575&lt;17,"Afternoon",
IF(F575&lt;21,"Evening","Night"))))</f>
        <v>Night</v>
      </c>
      <c r="V575" s="1" t="str">
        <f>IF(J575&lt;0.3,"Cold",
IF(J575&lt;0.6,"Pleasant","Hot"))</f>
        <v>Cold</v>
      </c>
      <c r="W575" s="1" t="str">
        <f>IF(L575&lt;0.4,"Low",
IF(L575&lt;0.7,"Medium","High"))</f>
        <v>Medium</v>
      </c>
      <c r="X575" s="1" t="str">
        <f>IF(M575&lt;0.2,"Low",
IF(M575&lt;0.4,"Medium","High"))</f>
        <v>Low</v>
      </c>
      <c r="Y575" s="1" t="str">
        <f>IF(P575&lt;100,"Low",
IF(P575&lt;300,"Medium","High"))</f>
        <v>Low</v>
      </c>
    </row>
    <row r="576" spans="1:25" x14ac:dyDescent="0.3">
      <c r="A576">
        <v>575</v>
      </c>
      <c r="B576" s="2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 t="str">
        <f>VLOOKUP(MasterData[[#This Row],[season]],[1]Lookup!$A$2:$B$5,2,FALSE)</f>
        <v>Spring</v>
      </c>
      <c r="R576" t="str">
        <f>TEXT(DATE(2026,E576,1),"mmmm")</f>
        <v>January</v>
      </c>
      <c r="S576" t="str">
        <f>IF(OR(H576=0,H576=6),"Weekend","Weekday")</f>
        <v>Weekday</v>
      </c>
      <c r="T576" s="1" t="str">
        <f>VLOOKUP(I576,[1]Lookup!$D$2:$E$5,2,FALSE)</f>
        <v>Light Rain / Snow</v>
      </c>
      <c r="U576" s="1" t="str">
        <f>IF(F576&lt;6,"Night",
IF(F576&lt;12,"Morning",
IF(F576&lt;17,"Afternoon",
IF(F576&lt;21,"Evening","Night"))))</f>
        <v>Night</v>
      </c>
      <c r="V576" s="1" t="str">
        <f>IF(J576&lt;0.3,"Cold",
IF(J576&lt;0.6,"Pleasant","Hot"))</f>
        <v>Cold</v>
      </c>
      <c r="W576" s="1" t="str">
        <f>IF(L576&lt;0.4,"Low",
IF(L576&lt;0.7,"Medium","High"))</f>
        <v>High</v>
      </c>
      <c r="X576" s="1" t="str">
        <f>IF(M576&lt;0.2,"Low",
IF(M576&lt;0.4,"Medium","High"))</f>
        <v>Medium</v>
      </c>
      <c r="Y576" s="1" t="str">
        <f>IF(P576&lt;100,"Low",
IF(P576&lt;300,"Medium","High"))</f>
        <v>Low</v>
      </c>
    </row>
    <row r="577" spans="1:25" x14ac:dyDescent="0.3">
      <c r="A577">
        <v>576</v>
      </c>
      <c r="B577" s="2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 t="str">
        <f>VLOOKUP(MasterData[[#This Row],[season]],[1]Lookup!$A$2:$B$5,2,FALSE)</f>
        <v>Spring</v>
      </c>
      <c r="R577" t="str">
        <f>TEXT(DATE(2026,E577,1),"mmmm")</f>
        <v>January</v>
      </c>
      <c r="S577" t="str">
        <f>IF(OR(H577=0,H577=6),"Weekend","Weekday")</f>
        <v>Weekday</v>
      </c>
      <c r="T577" s="1" t="str">
        <f>VLOOKUP(I577,[1]Lookup!$D$2:$E$5,2,FALSE)</f>
        <v>Light Rain / Snow</v>
      </c>
      <c r="U577" s="1" t="str">
        <f>IF(F577&lt;6,"Night",
IF(F577&lt;12,"Morning",
IF(F577&lt;17,"Afternoon",
IF(F577&lt;21,"Evening","Night"))))</f>
        <v>Morning</v>
      </c>
      <c r="V577" s="1" t="str">
        <f>IF(J577&lt;0.3,"Cold",
IF(J577&lt;0.6,"Pleasant","Hot"))</f>
        <v>Cold</v>
      </c>
      <c r="W577" s="1" t="str">
        <f>IF(L577&lt;0.4,"Low",
IF(L577&lt;0.7,"Medium","High"))</f>
        <v>High</v>
      </c>
      <c r="X577" s="1" t="str">
        <f>IF(M577&lt;0.2,"Low",
IF(M577&lt;0.4,"Medium","High"))</f>
        <v>Medium</v>
      </c>
      <c r="Y577" s="1" t="str">
        <f>IF(P577&lt;100,"Low",
IF(P577&lt;300,"Medium","High"))</f>
        <v>Low</v>
      </c>
    </row>
    <row r="578" spans="1:25" x14ac:dyDescent="0.3">
      <c r="A578">
        <v>577</v>
      </c>
      <c r="B578" s="2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 t="str">
        <f>VLOOKUP(MasterData[[#This Row],[season]],[1]Lookup!$A$2:$B$5,2,FALSE)</f>
        <v>Spring</v>
      </c>
      <c r="R578" t="str">
        <f>TEXT(DATE(2026,E578,1),"mmmm")</f>
        <v>January</v>
      </c>
      <c r="S578" t="str">
        <f>IF(OR(H578=0,H578=6),"Weekend","Weekday")</f>
        <v>Weekday</v>
      </c>
      <c r="T578" s="1" t="str">
        <f>VLOOKUP(I578,[1]Lookup!$D$2:$E$5,2,FALSE)</f>
        <v>Light Rain / Snow</v>
      </c>
      <c r="U578" s="1" t="str">
        <f>IF(F578&lt;6,"Night",
IF(F578&lt;12,"Morning",
IF(F578&lt;17,"Afternoon",
IF(F578&lt;21,"Evening","Night"))))</f>
        <v>Morning</v>
      </c>
      <c r="V578" s="1" t="str">
        <f>IF(J578&lt;0.3,"Cold",
IF(J578&lt;0.6,"Pleasant","Hot"))</f>
        <v>Cold</v>
      </c>
      <c r="W578" s="1" t="str">
        <f>IF(L578&lt;0.4,"Low",
IF(L578&lt;0.7,"Medium","High"))</f>
        <v>High</v>
      </c>
      <c r="X578" s="1" t="str">
        <f>IF(M578&lt;0.2,"Low",
IF(M578&lt;0.4,"Medium","High"))</f>
        <v>Medium</v>
      </c>
      <c r="Y578" s="1" t="str">
        <f>IF(P578&lt;100,"Low",
IF(P578&lt;300,"Medium","High"))</f>
        <v>Low</v>
      </c>
    </row>
    <row r="579" spans="1:25" x14ac:dyDescent="0.3">
      <c r="A579">
        <v>578</v>
      </c>
      <c r="B579" s="2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 t="str">
        <f>VLOOKUP(MasterData[[#This Row],[season]],[1]Lookup!$A$2:$B$5,2,FALSE)</f>
        <v>Spring</v>
      </c>
      <c r="R579" t="str">
        <f>TEXT(DATE(2026,E579,1),"mmmm")</f>
        <v>January</v>
      </c>
      <c r="S579" t="str">
        <f>IF(OR(H579=0,H579=6),"Weekend","Weekday")</f>
        <v>Weekday</v>
      </c>
      <c r="T579" s="1" t="str">
        <f>VLOOKUP(I579,[1]Lookup!$D$2:$E$5,2,FALSE)</f>
        <v>Light Rain / Snow</v>
      </c>
      <c r="U579" s="1" t="str">
        <f>IF(F579&lt;6,"Night",
IF(F579&lt;12,"Morning",
IF(F579&lt;17,"Afternoon",
IF(F579&lt;21,"Evening","Night"))))</f>
        <v>Morning</v>
      </c>
      <c r="V579" s="1" t="str">
        <f>IF(J579&lt;0.3,"Cold",
IF(J579&lt;0.6,"Pleasant","Hot"))</f>
        <v>Cold</v>
      </c>
      <c r="W579" s="1" t="str">
        <f>IF(L579&lt;0.4,"Low",
IF(L579&lt;0.7,"Medium","High"))</f>
        <v>High</v>
      </c>
      <c r="X579" s="1" t="str">
        <f>IF(M579&lt;0.2,"Low",
IF(M579&lt;0.4,"Medium","High"))</f>
        <v>Medium</v>
      </c>
      <c r="Y579" s="1" t="str">
        <f>IF(P579&lt;100,"Low",
IF(P579&lt;300,"Medium","High"))</f>
        <v>Low</v>
      </c>
    </row>
    <row r="580" spans="1:25" x14ac:dyDescent="0.3">
      <c r="A580">
        <v>579</v>
      </c>
      <c r="B580" s="2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 t="str">
        <f>VLOOKUP(MasterData[[#This Row],[season]],[1]Lookup!$A$2:$B$5,2,FALSE)</f>
        <v>Spring</v>
      </c>
      <c r="R580" t="str">
        <f>TEXT(DATE(2026,E580,1),"mmmm")</f>
        <v>January</v>
      </c>
      <c r="S580" t="str">
        <f>IF(OR(H580=0,H580=6),"Weekend","Weekday")</f>
        <v>Weekday</v>
      </c>
      <c r="T580" s="1" t="str">
        <f>VLOOKUP(I580,[1]Lookup!$D$2:$E$5,2,FALSE)</f>
        <v>Light Rain / Snow</v>
      </c>
      <c r="U580" s="1" t="str">
        <f>IF(F580&lt;6,"Night",
IF(F580&lt;12,"Morning",
IF(F580&lt;17,"Afternoon",
IF(F580&lt;21,"Evening","Night"))))</f>
        <v>Morning</v>
      </c>
      <c r="V580" s="1" t="str">
        <f>IF(J580&lt;0.3,"Cold",
IF(J580&lt;0.6,"Pleasant","Hot"))</f>
        <v>Cold</v>
      </c>
      <c r="W580" s="1" t="str">
        <f>IF(L580&lt;0.4,"Low",
IF(L580&lt;0.7,"Medium","High"))</f>
        <v>High</v>
      </c>
      <c r="X580" s="1" t="str">
        <f>IF(M580&lt;0.2,"Low",
IF(M580&lt;0.4,"Medium","High"))</f>
        <v>Medium</v>
      </c>
      <c r="Y580" s="1" t="str">
        <f>IF(P580&lt;100,"Low",
IF(P580&lt;300,"Medium","High"))</f>
        <v>Low</v>
      </c>
    </row>
    <row r="581" spans="1:25" x14ac:dyDescent="0.3">
      <c r="A581">
        <v>580</v>
      </c>
      <c r="B581" s="2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 t="str">
        <f>VLOOKUP(MasterData[[#This Row],[season]],[1]Lookup!$A$2:$B$5,2,FALSE)</f>
        <v>Spring</v>
      </c>
      <c r="R581" t="str">
        <f>TEXT(DATE(2026,E581,1),"mmmm")</f>
        <v>January</v>
      </c>
      <c r="S581" t="str">
        <f>IF(OR(H581=0,H581=6),"Weekend","Weekday")</f>
        <v>Weekday</v>
      </c>
      <c r="T581" s="1" t="str">
        <f>VLOOKUP(I581,[1]Lookup!$D$2:$E$5,2,FALSE)</f>
        <v>Light Rain / Snow</v>
      </c>
      <c r="U581" s="1" t="str">
        <f>IF(F581&lt;6,"Night",
IF(F581&lt;12,"Morning",
IF(F581&lt;17,"Afternoon",
IF(F581&lt;21,"Evening","Night"))))</f>
        <v>Morning</v>
      </c>
      <c r="V581" s="1" t="str">
        <f>IF(J581&lt;0.3,"Cold",
IF(J581&lt;0.6,"Pleasant","Hot"))</f>
        <v>Cold</v>
      </c>
      <c r="W581" s="1" t="str">
        <f>IF(L581&lt;0.4,"Low",
IF(L581&lt;0.7,"Medium","High"))</f>
        <v>High</v>
      </c>
      <c r="X581" s="1" t="str">
        <f>IF(M581&lt;0.2,"Low",
IF(M581&lt;0.4,"Medium","High"))</f>
        <v>Medium</v>
      </c>
      <c r="Y581" s="1" t="str">
        <f>IF(P581&lt;100,"Low",
IF(P581&lt;300,"Medium","High"))</f>
        <v>Low</v>
      </c>
    </row>
    <row r="582" spans="1:25" x14ac:dyDescent="0.3">
      <c r="A582">
        <v>581</v>
      </c>
      <c r="B582" s="2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 t="str">
        <f>VLOOKUP(MasterData[[#This Row],[season]],[1]Lookup!$A$2:$B$5,2,FALSE)</f>
        <v>Spring</v>
      </c>
      <c r="R582" t="str">
        <f>TEXT(DATE(2026,E582,1),"mmmm")</f>
        <v>January</v>
      </c>
      <c r="S582" t="str">
        <f>IF(OR(H582=0,H582=6),"Weekend","Weekday")</f>
        <v>Weekday</v>
      </c>
      <c r="T582" s="1" t="str">
        <f>VLOOKUP(I582,[1]Lookup!$D$2:$E$5,2,FALSE)</f>
        <v>Light Rain / Snow</v>
      </c>
      <c r="U582" s="1" t="str">
        <f>IF(F582&lt;6,"Night",
IF(F582&lt;12,"Morning",
IF(F582&lt;17,"Afternoon",
IF(F582&lt;21,"Evening","Night"))))</f>
        <v>Morning</v>
      </c>
      <c r="V582" s="1" t="str">
        <f>IF(J582&lt;0.3,"Cold",
IF(J582&lt;0.6,"Pleasant","Hot"))</f>
        <v>Cold</v>
      </c>
      <c r="W582" s="1" t="str">
        <f>IF(L582&lt;0.4,"Low",
IF(L582&lt;0.7,"Medium","High"))</f>
        <v>High</v>
      </c>
      <c r="X582" s="1" t="str">
        <f>IF(M582&lt;0.2,"Low",
IF(M582&lt;0.4,"Medium","High"))</f>
        <v>Medium</v>
      </c>
      <c r="Y582" s="1" t="str">
        <f>IF(P582&lt;100,"Low",
IF(P582&lt;300,"Medium","High"))</f>
        <v>Low</v>
      </c>
    </row>
    <row r="583" spans="1:25" x14ac:dyDescent="0.3">
      <c r="A583">
        <v>582</v>
      </c>
      <c r="B583" s="2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 t="str">
        <f>VLOOKUP(MasterData[[#This Row],[season]],[1]Lookup!$A$2:$B$5,2,FALSE)</f>
        <v>Spring</v>
      </c>
      <c r="R583" t="str">
        <f>TEXT(DATE(2026,E583,1),"mmmm")</f>
        <v>January</v>
      </c>
      <c r="S583" t="str">
        <f>IF(OR(H583=0,H583=6),"Weekend","Weekday")</f>
        <v>Weekday</v>
      </c>
      <c r="T583" s="1" t="str">
        <f>VLOOKUP(I583,[1]Lookup!$D$2:$E$5,2,FALSE)</f>
        <v>Light Rain / Snow</v>
      </c>
      <c r="U583" s="1" t="str">
        <f>IF(F583&lt;6,"Night",
IF(F583&lt;12,"Morning",
IF(F583&lt;17,"Afternoon",
IF(F583&lt;21,"Evening","Night"))))</f>
        <v>Afternoon</v>
      </c>
      <c r="V583" s="1" t="str">
        <f>IF(J583&lt;0.3,"Cold",
IF(J583&lt;0.6,"Pleasant","Hot"))</f>
        <v>Cold</v>
      </c>
      <c r="W583" s="1" t="str">
        <f>IF(L583&lt;0.4,"Low",
IF(L583&lt;0.7,"Medium","High"))</f>
        <v>High</v>
      </c>
      <c r="X583" s="1" t="str">
        <f>IF(M583&lt;0.2,"Low",
IF(M583&lt;0.4,"Medium","High"))</f>
        <v>Medium</v>
      </c>
      <c r="Y583" s="1" t="str">
        <f>IF(P583&lt;100,"Low",
IF(P583&lt;300,"Medium","High"))</f>
        <v>Low</v>
      </c>
    </row>
    <row r="584" spans="1:25" x14ac:dyDescent="0.3">
      <c r="A584">
        <v>583</v>
      </c>
      <c r="B584" s="2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 t="str">
        <f>VLOOKUP(MasterData[[#This Row],[season]],[1]Lookup!$A$2:$B$5,2,FALSE)</f>
        <v>Spring</v>
      </c>
      <c r="R584" t="str">
        <f>TEXT(DATE(2026,E584,1),"mmmm")</f>
        <v>January</v>
      </c>
      <c r="S584" t="str">
        <f>IF(OR(H584=0,H584=6),"Weekend","Weekday")</f>
        <v>Weekday</v>
      </c>
      <c r="T584" s="1" t="str">
        <f>VLOOKUP(I584,[1]Lookup!$D$2:$E$5,2,FALSE)</f>
        <v>Light Rain / Snow</v>
      </c>
      <c r="U584" s="1" t="str">
        <f>IF(F584&lt;6,"Night",
IF(F584&lt;12,"Morning",
IF(F584&lt;17,"Afternoon",
IF(F584&lt;21,"Evening","Night"))))</f>
        <v>Afternoon</v>
      </c>
      <c r="V584" s="1" t="str">
        <f>IF(J584&lt;0.3,"Cold",
IF(J584&lt;0.6,"Pleasant","Hot"))</f>
        <v>Cold</v>
      </c>
      <c r="W584" s="1" t="str">
        <f>IF(L584&lt;0.4,"Low",
IF(L584&lt;0.7,"Medium","High"))</f>
        <v>High</v>
      </c>
      <c r="X584" s="1" t="str">
        <f>IF(M584&lt;0.2,"Low",
IF(M584&lt;0.4,"Medium","High"))</f>
        <v>Medium</v>
      </c>
      <c r="Y584" s="1" t="str">
        <f>IF(P584&lt;100,"Low",
IF(P584&lt;300,"Medium","High"))</f>
        <v>Low</v>
      </c>
    </row>
    <row r="585" spans="1:25" x14ac:dyDescent="0.3">
      <c r="A585">
        <v>584</v>
      </c>
      <c r="B585" s="2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 t="str">
        <f>VLOOKUP(MasterData[[#This Row],[season]],[1]Lookup!$A$2:$B$5,2,FALSE)</f>
        <v>Spring</v>
      </c>
      <c r="R585" t="str">
        <f>TEXT(DATE(2026,E585,1),"mmmm")</f>
        <v>January</v>
      </c>
      <c r="S585" t="str">
        <f>IF(OR(H585=0,H585=6),"Weekend","Weekday")</f>
        <v>Weekday</v>
      </c>
      <c r="T585" s="1" t="str">
        <f>VLOOKUP(I585,[1]Lookup!$D$2:$E$5,2,FALSE)</f>
        <v>Light Rain / Snow</v>
      </c>
      <c r="U585" s="1" t="str">
        <f>IF(F585&lt;6,"Night",
IF(F585&lt;12,"Morning",
IF(F585&lt;17,"Afternoon",
IF(F585&lt;21,"Evening","Night"))))</f>
        <v>Afternoon</v>
      </c>
      <c r="V585" s="1" t="str">
        <f>IF(J585&lt;0.3,"Cold",
IF(J585&lt;0.6,"Pleasant","Hot"))</f>
        <v>Cold</v>
      </c>
      <c r="W585" s="1" t="str">
        <f>IF(L585&lt;0.4,"Low",
IF(L585&lt;0.7,"Medium","High"))</f>
        <v>High</v>
      </c>
      <c r="X585" s="1" t="str">
        <f>IF(M585&lt;0.2,"Low",
IF(M585&lt;0.4,"Medium","High"))</f>
        <v>Medium</v>
      </c>
      <c r="Y585" s="1" t="str">
        <f>IF(P585&lt;100,"Low",
IF(P585&lt;300,"Medium","High"))</f>
        <v>Low</v>
      </c>
    </row>
    <row r="586" spans="1:25" x14ac:dyDescent="0.3">
      <c r="A586">
        <v>585</v>
      </c>
      <c r="B586" s="2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  <c r="Q586" t="str">
        <f>VLOOKUP(MasterData[[#This Row],[season]],[1]Lookup!$A$2:$B$5,2,FALSE)</f>
        <v>Spring</v>
      </c>
      <c r="R586" t="str">
        <f>TEXT(DATE(2026,E586,1),"mmmm")</f>
        <v>January</v>
      </c>
      <c r="S586" t="str">
        <f>IF(OR(H586=0,H586=6),"Weekend","Weekday")</f>
        <v>Weekday</v>
      </c>
      <c r="T586" s="1" t="str">
        <f>VLOOKUP(I586,[1]Lookup!$D$2:$E$5,2,FALSE)</f>
        <v>Light Rain / Snow</v>
      </c>
      <c r="U586" s="1" t="str">
        <f>IF(F586&lt;6,"Night",
IF(F586&lt;12,"Morning",
IF(F586&lt;17,"Afternoon",
IF(F586&lt;21,"Evening","Night"))))</f>
        <v>Afternoon</v>
      </c>
      <c r="V586" s="1" t="str">
        <f>IF(J586&lt;0.3,"Cold",
IF(J586&lt;0.6,"Pleasant","Hot"))</f>
        <v>Cold</v>
      </c>
      <c r="W586" s="1" t="str">
        <f>IF(L586&lt;0.4,"Low",
IF(L586&lt;0.7,"Medium","High"))</f>
        <v>High</v>
      </c>
      <c r="X586" s="1" t="str">
        <f>IF(M586&lt;0.2,"Low",
IF(M586&lt;0.4,"Medium","High"))</f>
        <v>High</v>
      </c>
      <c r="Y586" s="1" t="str">
        <f>IF(P586&lt;100,"Low",
IF(P586&lt;300,"Medium","High"))</f>
        <v>Low</v>
      </c>
    </row>
    <row r="587" spans="1:25" x14ac:dyDescent="0.3">
      <c r="A587">
        <v>586</v>
      </c>
      <c r="B587" s="2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 t="str">
        <f>VLOOKUP(MasterData[[#This Row],[season]],[1]Lookup!$A$2:$B$5,2,FALSE)</f>
        <v>Spring</v>
      </c>
      <c r="R587" t="str">
        <f>TEXT(DATE(2026,E587,1),"mmmm")</f>
        <v>January</v>
      </c>
      <c r="S587" t="str">
        <f>IF(OR(H587=0,H587=6),"Weekend","Weekday")</f>
        <v>Weekday</v>
      </c>
      <c r="T587" s="1" t="str">
        <f>VLOOKUP(I587,[1]Lookup!$D$2:$E$5,2,FALSE)</f>
        <v>Heavy Rain / Snow</v>
      </c>
      <c r="U587" s="1" t="str">
        <f>IF(F587&lt;6,"Night",
IF(F587&lt;12,"Morning",
IF(F587&lt;17,"Afternoon",
IF(F587&lt;21,"Evening","Night"))))</f>
        <v>Afternoon</v>
      </c>
      <c r="V587" s="1" t="str">
        <f>IF(J587&lt;0.3,"Cold",
IF(J587&lt;0.6,"Pleasant","Hot"))</f>
        <v>Cold</v>
      </c>
      <c r="W587" s="1" t="str">
        <f>IF(L587&lt;0.4,"Low",
IF(L587&lt;0.7,"Medium","High"))</f>
        <v>High</v>
      </c>
      <c r="X587" s="1" t="str">
        <f>IF(M587&lt;0.2,"Low",
IF(M587&lt;0.4,"Medium","High"))</f>
        <v>Medium</v>
      </c>
      <c r="Y587" s="1" t="str">
        <f>IF(P587&lt;100,"Low",
IF(P587&lt;300,"Medium","High"))</f>
        <v>Low</v>
      </c>
    </row>
    <row r="588" spans="1:25" x14ac:dyDescent="0.3">
      <c r="A588">
        <v>587</v>
      </c>
      <c r="B588" s="2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 t="str">
        <f>VLOOKUP(MasterData[[#This Row],[season]],[1]Lookup!$A$2:$B$5,2,FALSE)</f>
        <v>Spring</v>
      </c>
      <c r="R588" t="str">
        <f>TEXT(DATE(2026,E588,1),"mmmm")</f>
        <v>January</v>
      </c>
      <c r="S588" t="str">
        <f>IF(OR(H588=0,H588=6),"Weekend","Weekday")</f>
        <v>Weekday</v>
      </c>
      <c r="T588" s="1" t="str">
        <f>VLOOKUP(I588,[1]Lookup!$D$2:$E$5,2,FALSE)</f>
        <v>Light Rain / Snow</v>
      </c>
      <c r="U588" s="1" t="str">
        <f>IF(F588&lt;6,"Night",
IF(F588&lt;12,"Morning",
IF(F588&lt;17,"Afternoon",
IF(F588&lt;21,"Evening","Night"))))</f>
        <v>Evening</v>
      </c>
      <c r="V588" s="1" t="str">
        <f>IF(J588&lt;0.3,"Cold",
IF(J588&lt;0.6,"Pleasant","Hot"))</f>
        <v>Cold</v>
      </c>
      <c r="W588" s="1" t="str">
        <f>IF(L588&lt;0.4,"Low",
IF(L588&lt;0.7,"Medium","High"))</f>
        <v>High</v>
      </c>
      <c r="X588" s="1" t="str">
        <f>IF(M588&lt;0.2,"Low",
IF(M588&lt;0.4,"Medium","High"))</f>
        <v>Medium</v>
      </c>
      <c r="Y588" s="1" t="str">
        <f>IF(P588&lt;100,"Low",
IF(P588&lt;300,"Medium","High"))</f>
        <v>Low</v>
      </c>
    </row>
    <row r="589" spans="1:25" x14ac:dyDescent="0.3">
      <c r="A589">
        <v>588</v>
      </c>
      <c r="B589" s="2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  <c r="Q589" t="str">
        <f>VLOOKUP(MasterData[[#This Row],[season]],[1]Lookup!$A$2:$B$5,2,FALSE)</f>
        <v>Spring</v>
      </c>
      <c r="R589" t="str">
        <f>TEXT(DATE(2026,E589,1),"mmmm")</f>
        <v>January</v>
      </c>
      <c r="S589" t="str">
        <f>IF(OR(H589=0,H589=6),"Weekend","Weekday")</f>
        <v>Weekday</v>
      </c>
      <c r="T589" s="1" t="str">
        <f>VLOOKUP(I589,[1]Lookup!$D$2:$E$5,2,FALSE)</f>
        <v>Clear</v>
      </c>
      <c r="U589" s="1" t="str">
        <f>IF(F589&lt;6,"Night",
IF(F589&lt;12,"Morning",
IF(F589&lt;17,"Afternoon",
IF(F589&lt;21,"Evening","Night"))))</f>
        <v>Afternoon</v>
      </c>
      <c r="V589" s="1" t="str">
        <f>IF(J589&lt;0.3,"Cold",
IF(J589&lt;0.6,"Pleasant","Hot"))</f>
        <v>Cold</v>
      </c>
      <c r="W589" s="1" t="str">
        <f>IF(L589&lt;0.4,"Low",
IF(L589&lt;0.7,"Medium","High"))</f>
        <v>Medium</v>
      </c>
      <c r="X589" s="1" t="str">
        <f>IF(M589&lt;0.2,"Low",
IF(M589&lt;0.4,"Medium","High"))</f>
        <v>Low</v>
      </c>
      <c r="Y589" s="1" t="str">
        <f>IF(P589&lt;100,"Low",
IF(P589&lt;300,"Medium","High"))</f>
        <v>Low</v>
      </c>
    </row>
    <row r="590" spans="1:25" x14ac:dyDescent="0.3">
      <c r="A590">
        <v>589</v>
      </c>
      <c r="B590" s="2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  <c r="Q590" t="str">
        <f>VLOOKUP(MasterData[[#This Row],[season]],[1]Lookup!$A$2:$B$5,2,FALSE)</f>
        <v>Spring</v>
      </c>
      <c r="R590" t="str">
        <f>TEXT(DATE(2026,E590,1),"mmmm")</f>
        <v>January</v>
      </c>
      <c r="S590" t="str">
        <f>IF(OR(H590=0,H590=6),"Weekend","Weekday")</f>
        <v>Weekday</v>
      </c>
      <c r="T590" s="1" t="str">
        <f>VLOOKUP(I590,[1]Lookup!$D$2:$E$5,2,FALSE)</f>
        <v>Clear</v>
      </c>
      <c r="U590" s="1" t="str">
        <f>IF(F590&lt;6,"Night",
IF(F590&lt;12,"Morning",
IF(F590&lt;17,"Afternoon",
IF(F590&lt;21,"Evening","Night"))))</f>
        <v>Evening</v>
      </c>
      <c r="V590" s="1" t="str">
        <f>IF(J590&lt;0.3,"Cold",
IF(J590&lt;0.6,"Pleasant","Hot"))</f>
        <v>Cold</v>
      </c>
      <c r="W590" s="1" t="str">
        <f>IF(L590&lt;0.4,"Low",
IF(L590&lt;0.7,"Medium","High"))</f>
        <v>Medium</v>
      </c>
      <c r="X590" s="1" t="str">
        <f>IF(M590&lt;0.2,"Low",
IF(M590&lt;0.4,"Medium","High"))</f>
        <v>Low</v>
      </c>
      <c r="Y590" s="1" t="str">
        <f>IF(P590&lt;100,"Low",
IF(P590&lt;300,"Medium","High"))</f>
        <v>Low</v>
      </c>
    </row>
    <row r="591" spans="1:25" x14ac:dyDescent="0.3">
      <c r="A591">
        <v>590</v>
      </c>
      <c r="B591" s="2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  <c r="Q591" t="str">
        <f>VLOOKUP(MasterData[[#This Row],[season]],[1]Lookup!$A$2:$B$5,2,FALSE)</f>
        <v>Spring</v>
      </c>
      <c r="R591" t="str">
        <f>TEXT(DATE(2026,E591,1),"mmmm")</f>
        <v>January</v>
      </c>
      <c r="S591" t="str">
        <f>IF(OR(H591=0,H591=6),"Weekend","Weekday")</f>
        <v>Weekday</v>
      </c>
      <c r="T591" s="1" t="str">
        <f>VLOOKUP(I591,[1]Lookup!$D$2:$E$5,2,FALSE)</f>
        <v>Clear</v>
      </c>
      <c r="U591" s="1" t="str">
        <f>IF(F591&lt;6,"Night",
IF(F591&lt;12,"Morning",
IF(F591&lt;17,"Afternoon",
IF(F591&lt;21,"Evening","Night"))))</f>
        <v>Evening</v>
      </c>
      <c r="V591" s="1" t="str">
        <f>IF(J591&lt;0.3,"Cold",
IF(J591&lt;0.6,"Pleasant","Hot"))</f>
        <v>Cold</v>
      </c>
      <c r="W591" s="1" t="str">
        <f>IF(L591&lt;0.4,"Low",
IF(L591&lt;0.7,"Medium","High"))</f>
        <v>Medium</v>
      </c>
      <c r="X591" s="1" t="str">
        <f>IF(M591&lt;0.2,"Low",
IF(M591&lt;0.4,"Medium","High"))</f>
        <v>Low</v>
      </c>
      <c r="Y591" s="1" t="str">
        <f>IF(P591&lt;100,"Low",
IF(P591&lt;300,"Medium","High"))</f>
        <v>Medium</v>
      </c>
    </row>
    <row r="592" spans="1:25" x14ac:dyDescent="0.3">
      <c r="A592">
        <v>591</v>
      </c>
      <c r="B592" s="2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  <c r="Q592" t="str">
        <f>VLOOKUP(MasterData[[#This Row],[season]],[1]Lookup!$A$2:$B$5,2,FALSE)</f>
        <v>Spring</v>
      </c>
      <c r="R592" t="str">
        <f>TEXT(DATE(2026,E592,1),"mmmm")</f>
        <v>January</v>
      </c>
      <c r="S592" t="str">
        <f>IF(OR(H592=0,H592=6),"Weekend","Weekday")</f>
        <v>Weekday</v>
      </c>
      <c r="T592" s="1" t="str">
        <f>VLOOKUP(I592,[1]Lookup!$D$2:$E$5,2,FALSE)</f>
        <v>Clear</v>
      </c>
      <c r="U592" s="1" t="str">
        <f>IF(F592&lt;6,"Night",
IF(F592&lt;12,"Morning",
IF(F592&lt;17,"Afternoon",
IF(F592&lt;21,"Evening","Night"))))</f>
        <v>Evening</v>
      </c>
      <c r="V592" s="1" t="str">
        <f>IF(J592&lt;0.3,"Cold",
IF(J592&lt;0.6,"Pleasant","Hot"))</f>
        <v>Cold</v>
      </c>
      <c r="W592" s="1" t="str">
        <f>IF(L592&lt;0.4,"Low",
IF(L592&lt;0.7,"Medium","High"))</f>
        <v>Medium</v>
      </c>
      <c r="X592" s="1" t="str">
        <f>IF(M592&lt;0.2,"Low",
IF(M592&lt;0.4,"Medium","High"))</f>
        <v>Low</v>
      </c>
      <c r="Y592" s="1" t="str">
        <f>IF(P592&lt;100,"Low",
IF(P592&lt;300,"Medium","High"))</f>
        <v>Low</v>
      </c>
    </row>
    <row r="593" spans="1:25" x14ac:dyDescent="0.3">
      <c r="A593">
        <v>592</v>
      </c>
      <c r="B593" s="2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  <c r="Q593" t="str">
        <f>VLOOKUP(MasterData[[#This Row],[season]],[1]Lookup!$A$2:$B$5,2,FALSE)</f>
        <v>Spring</v>
      </c>
      <c r="R593" t="str">
        <f>TEXT(DATE(2026,E593,1),"mmmm")</f>
        <v>January</v>
      </c>
      <c r="S593" t="str">
        <f>IF(OR(H593=0,H593=6),"Weekend","Weekday")</f>
        <v>Weekday</v>
      </c>
      <c r="T593" s="1" t="str">
        <f>VLOOKUP(I593,[1]Lookup!$D$2:$E$5,2,FALSE)</f>
        <v>Clear</v>
      </c>
      <c r="U593" s="1" t="str">
        <f>IF(F593&lt;6,"Night",
IF(F593&lt;12,"Morning",
IF(F593&lt;17,"Afternoon",
IF(F593&lt;21,"Evening","Night"))))</f>
        <v>Evening</v>
      </c>
      <c r="V593" s="1" t="str">
        <f>IF(J593&lt;0.3,"Cold",
IF(J593&lt;0.6,"Pleasant","Hot"))</f>
        <v>Cold</v>
      </c>
      <c r="W593" s="1" t="str">
        <f>IF(L593&lt;0.4,"Low",
IF(L593&lt;0.7,"Medium","High"))</f>
        <v>High</v>
      </c>
      <c r="X593" s="1" t="str">
        <f>IF(M593&lt;0.2,"Low",
IF(M593&lt;0.4,"Medium","High"))</f>
        <v>Low</v>
      </c>
      <c r="Y593" s="1" t="str">
        <f>IF(P593&lt;100,"Low",
IF(P593&lt;300,"Medium","High"))</f>
        <v>Low</v>
      </c>
    </row>
    <row r="594" spans="1:25" x14ac:dyDescent="0.3">
      <c r="A594">
        <v>593</v>
      </c>
      <c r="B594" s="2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  <c r="Q594" t="str">
        <f>VLOOKUP(MasterData[[#This Row],[season]],[1]Lookup!$A$2:$B$5,2,FALSE)</f>
        <v>Spring</v>
      </c>
      <c r="R594" t="str">
        <f>TEXT(DATE(2026,E594,1),"mmmm")</f>
        <v>January</v>
      </c>
      <c r="S594" t="str">
        <f>IF(OR(H594=0,H594=6),"Weekend","Weekday")</f>
        <v>Weekday</v>
      </c>
      <c r="T594" s="1" t="str">
        <f>VLOOKUP(I594,[1]Lookup!$D$2:$E$5,2,FALSE)</f>
        <v>Clear</v>
      </c>
      <c r="U594" s="1" t="str">
        <f>IF(F594&lt;6,"Night",
IF(F594&lt;12,"Morning",
IF(F594&lt;17,"Afternoon",
IF(F594&lt;21,"Evening","Night"))))</f>
        <v>Night</v>
      </c>
      <c r="V594" s="1" t="str">
        <f>IF(J594&lt;0.3,"Cold",
IF(J594&lt;0.6,"Pleasant","Hot"))</f>
        <v>Cold</v>
      </c>
      <c r="W594" s="1" t="str">
        <f>IF(L594&lt;0.4,"Low",
IF(L594&lt;0.7,"Medium","High"))</f>
        <v>High</v>
      </c>
      <c r="X594" s="1" t="str">
        <f>IF(M594&lt;0.2,"Low",
IF(M594&lt;0.4,"Medium","High"))</f>
        <v>Low</v>
      </c>
      <c r="Y594" s="1" t="str">
        <f>IF(P594&lt;100,"Low",
IF(P594&lt;300,"Medium","High"))</f>
        <v>Low</v>
      </c>
    </row>
    <row r="595" spans="1:25" x14ac:dyDescent="0.3">
      <c r="A595">
        <v>594</v>
      </c>
      <c r="B595" s="2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  <c r="Q595" t="str">
        <f>VLOOKUP(MasterData[[#This Row],[season]],[1]Lookup!$A$2:$B$5,2,FALSE)</f>
        <v>Spring</v>
      </c>
      <c r="R595" t="str">
        <f>TEXT(DATE(2026,E595,1),"mmmm")</f>
        <v>January</v>
      </c>
      <c r="S595" t="str">
        <f>IF(OR(H595=0,H595=6),"Weekend","Weekday")</f>
        <v>Weekday</v>
      </c>
      <c r="T595" s="1" t="str">
        <f>VLOOKUP(I595,[1]Lookup!$D$2:$E$5,2,FALSE)</f>
        <v>Clear</v>
      </c>
      <c r="U595" s="1" t="str">
        <f>IF(F595&lt;6,"Night",
IF(F595&lt;12,"Morning",
IF(F595&lt;17,"Afternoon",
IF(F595&lt;21,"Evening","Night"))))</f>
        <v>Night</v>
      </c>
      <c r="V595" s="1" t="str">
        <f>IF(J595&lt;0.3,"Cold",
IF(J595&lt;0.6,"Pleasant","Hot"))</f>
        <v>Cold</v>
      </c>
      <c r="W595" s="1" t="str">
        <f>IF(L595&lt;0.4,"Low",
IF(L595&lt;0.7,"Medium","High"))</f>
        <v>High</v>
      </c>
      <c r="X595" s="1" t="str">
        <f>IF(M595&lt;0.2,"Low",
IF(M595&lt;0.4,"Medium","High"))</f>
        <v>Low</v>
      </c>
      <c r="Y595" s="1" t="str">
        <f>IF(P595&lt;100,"Low",
IF(P595&lt;300,"Medium","High"))</f>
        <v>Low</v>
      </c>
    </row>
    <row r="596" spans="1:25" x14ac:dyDescent="0.3">
      <c r="A596">
        <v>595</v>
      </c>
      <c r="B596" s="2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  <c r="Q596" t="str">
        <f>VLOOKUP(MasterData[[#This Row],[season]],[1]Lookup!$A$2:$B$5,2,FALSE)</f>
        <v>Spring</v>
      </c>
      <c r="R596" t="str">
        <f>TEXT(DATE(2026,E596,1),"mmmm")</f>
        <v>January</v>
      </c>
      <c r="S596" t="str">
        <f>IF(OR(H596=0,H596=6),"Weekend","Weekday")</f>
        <v>Weekday</v>
      </c>
      <c r="T596" s="1" t="str">
        <f>VLOOKUP(I596,[1]Lookup!$D$2:$E$5,2,FALSE)</f>
        <v>Clear</v>
      </c>
      <c r="U596" s="1" t="str">
        <f>IF(F596&lt;6,"Night",
IF(F596&lt;12,"Morning",
IF(F596&lt;17,"Afternoon",
IF(F596&lt;21,"Evening","Night"))))</f>
        <v>Night</v>
      </c>
      <c r="V596" s="1" t="str">
        <f>IF(J596&lt;0.3,"Cold",
IF(J596&lt;0.6,"Pleasant","Hot"))</f>
        <v>Cold</v>
      </c>
      <c r="W596" s="1" t="str">
        <f>IF(L596&lt;0.4,"Low",
IF(L596&lt;0.7,"Medium","High"))</f>
        <v>High</v>
      </c>
      <c r="X596" s="1" t="str">
        <f>IF(M596&lt;0.2,"Low",
IF(M596&lt;0.4,"Medium","High"))</f>
        <v>Low</v>
      </c>
      <c r="Y596" s="1" t="str">
        <f>IF(P596&lt;100,"Low",
IF(P596&lt;300,"Medium","High"))</f>
        <v>Low</v>
      </c>
    </row>
    <row r="597" spans="1:25" x14ac:dyDescent="0.3">
      <c r="A597">
        <v>596</v>
      </c>
      <c r="B597" s="2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  <c r="Q597" t="str">
        <f>VLOOKUP(MasterData[[#This Row],[season]],[1]Lookup!$A$2:$B$5,2,FALSE)</f>
        <v>Spring</v>
      </c>
      <c r="R597" t="str">
        <f>TEXT(DATE(2026,E597,1),"mmmm")</f>
        <v>January</v>
      </c>
      <c r="S597" t="str">
        <f>IF(OR(H597=0,H597=6),"Weekend","Weekday")</f>
        <v>Weekday</v>
      </c>
      <c r="T597" s="1" t="str">
        <f>VLOOKUP(I597,[1]Lookup!$D$2:$E$5,2,FALSE)</f>
        <v>Mist / Cloudy</v>
      </c>
      <c r="U597" s="1" t="str">
        <f>IF(F597&lt;6,"Night",
IF(F597&lt;12,"Morning",
IF(F597&lt;17,"Afternoon",
IF(F597&lt;21,"Evening","Night"))))</f>
        <v>Night</v>
      </c>
      <c r="V597" s="1" t="str">
        <f>IF(J597&lt;0.3,"Cold",
IF(J597&lt;0.6,"Pleasant","Hot"))</f>
        <v>Cold</v>
      </c>
      <c r="W597" s="1" t="str">
        <f>IF(L597&lt;0.4,"Low",
IF(L597&lt;0.7,"Medium","High"))</f>
        <v>High</v>
      </c>
      <c r="X597" s="1" t="str">
        <f>IF(M597&lt;0.2,"Low",
IF(M597&lt;0.4,"Medium","High"))</f>
        <v>Low</v>
      </c>
      <c r="Y597" s="1" t="str">
        <f>IF(P597&lt;100,"Low",
IF(P597&lt;300,"Medium","High"))</f>
        <v>Low</v>
      </c>
    </row>
    <row r="598" spans="1:25" x14ac:dyDescent="0.3">
      <c r="A598">
        <v>597</v>
      </c>
      <c r="B598" s="2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  <c r="Q598" t="str">
        <f>VLOOKUP(MasterData[[#This Row],[season]],[1]Lookup!$A$2:$B$5,2,FALSE)</f>
        <v>Spring</v>
      </c>
      <c r="R598" t="str">
        <f>TEXT(DATE(2026,E598,1),"mmmm")</f>
        <v>January</v>
      </c>
      <c r="S598" t="str">
        <f>IF(OR(H598=0,H598=6),"Weekend","Weekday")</f>
        <v>Weekday</v>
      </c>
      <c r="T598" s="1" t="str">
        <f>VLOOKUP(I598,[1]Lookup!$D$2:$E$5,2,FALSE)</f>
        <v>Mist / Cloudy</v>
      </c>
      <c r="U598" s="1" t="str">
        <f>IF(F598&lt;6,"Night",
IF(F598&lt;12,"Morning",
IF(F598&lt;17,"Afternoon",
IF(F598&lt;21,"Evening","Night"))))</f>
        <v>Night</v>
      </c>
      <c r="V598" s="1" t="str">
        <f>IF(J598&lt;0.3,"Cold",
IF(J598&lt;0.6,"Pleasant","Hot"))</f>
        <v>Cold</v>
      </c>
      <c r="W598" s="1" t="str">
        <f>IF(L598&lt;0.4,"Low",
IF(L598&lt;0.7,"Medium","High"))</f>
        <v>High</v>
      </c>
      <c r="X598" s="1" t="str">
        <f>IF(M598&lt;0.2,"Low",
IF(M598&lt;0.4,"Medium","High"))</f>
        <v>Low</v>
      </c>
      <c r="Y598" s="1" t="str">
        <f>IF(P598&lt;100,"Low",
IF(P598&lt;300,"Medium","High"))</f>
        <v>Low</v>
      </c>
    </row>
    <row r="599" spans="1:25" x14ac:dyDescent="0.3">
      <c r="A599">
        <v>598</v>
      </c>
      <c r="B599" s="2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  <c r="Q599" t="str">
        <f>VLOOKUP(MasterData[[#This Row],[season]],[1]Lookup!$A$2:$B$5,2,FALSE)</f>
        <v>Spring</v>
      </c>
      <c r="R599" t="str">
        <f>TEXT(DATE(2026,E599,1),"mmmm")</f>
        <v>January</v>
      </c>
      <c r="S599" t="str">
        <f>IF(OR(H599=0,H599=6),"Weekend","Weekday")</f>
        <v>Weekday</v>
      </c>
      <c r="T599" s="1" t="str">
        <f>VLOOKUP(I599,[1]Lookup!$D$2:$E$5,2,FALSE)</f>
        <v>Mist / Cloudy</v>
      </c>
      <c r="U599" s="1" t="str">
        <f>IF(F599&lt;6,"Night",
IF(F599&lt;12,"Morning",
IF(F599&lt;17,"Afternoon",
IF(F599&lt;21,"Evening","Night"))))</f>
        <v>Night</v>
      </c>
      <c r="V599" s="1" t="str">
        <f>IF(J599&lt;0.3,"Cold",
IF(J599&lt;0.6,"Pleasant","Hot"))</f>
        <v>Cold</v>
      </c>
      <c r="W599" s="1" t="str">
        <f>IF(L599&lt;0.4,"Low",
IF(L599&lt;0.7,"Medium","High"))</f>
        <v>High</v>
      </c>
      <c r="X599" s="1" t="str">
        <f>IF(M599&lt;0.2,"Low",
IF(M599&lt;0.4,"Medium","High"))</f>
        <v>Low</v>
      </c>
      <c r="Y599" s="1" t="str">
        <f>IF(P599&lt;100,"Low",
IF(P599&lt;300,"Medium","High"))</f>
        <v>Low</v>
      </c>
    </row>
    <row r="600" spans="1:25" x14ac:dyDescent="0.3">
      <c r="A600">
        <v>599</v>
      </c>
      <c r="B600" s="2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  <c r="Q600" t="str">
        <f>VLOOKUP(MasterData[[#This Row],[season]],[1]Lookup!$A$2:$B$5,2,FALSE)</f>
        <v>Spring</v>
      </c>
      <c r="R600" t="str">
        <f>TEXT(DATE(2026,E600,1),"mmmm")</f>
        <v>January</v>
      </c>
      <c r="S600" t="str">
        <f>IF(OR(H600=0,H600=6),"Weekend","Weekday")</f>
        <v>Weekday</v>
      </c>
      <c r="T600" s="1" t="str">
        <f>VLOOKUP(I600,[1]Lookup!$D$2:$E$5,2,FALSE)</f>
        <v>Mist / Cloudy</v>
      </c>
      <c r="U600" s="1" t="str">
        <f>IF(F600&lt;6,"Night",
IF(F600&lt;12,"Morning",
IF(F600&lt;17,"Afternoon",
IF(F600&lt;21,"Evening","Night"))))</f>
        <v>Night</v>
      </c>
      <c r="V600" s="1" t="str">
        <f>IF(J600&lt;0.3,"Cold",
IF(J600&lt;0.6,"Pleasant","Hot"))</f>
        <v>Cold</v>
      </c>
      <c r="W600" s="1" t="str">
        <f>IF(L600&lt;0.4,"Low",
IF(L600&lt;0.7,"Medium","High"))</f>
        <v>High</v>
      </c>
      <c r="X600" s="1" t="str">
        <f>IF(M600&lt;0.2,"Low",
IF(M600&lt;0.4,"Medium","High"))</f>
        <v>Low</v>
      </c>
      <c r="Y600" s="1" t="str">
        <f>IF(P600&lt;100,"Low",
IF(P600&lt;300,"Medium","High"))</f>
        <v>Low</v>
      </c>
    </row>
    <row r="601" spans="1:25" x14ac:dyDescent="0.3">
      <c r="A601">
        <v>600</v>
      </c>
      <c r="B601" s="2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  <c r="Q601" t="str">
        <f>VLOOKUP(MasterData[[#This Row],[season]],[1]Lookup!$A$2:$B$5,2,FALSE)</f>
        <v>Spring</v>
      </c>
      <c r="R601" t="str">
        <f>TEXT(DATE(2026,E601,1),"mmmm")</f>
        <v>January</v>
      </c>
      <c r="S601" t="str">
        <f>IF(OR(H601=0,H601=6),"Weekend","Weekday")</f>
        <v>Weekday</v>
      </c>
      <c r="T601" s="1" t="str">
        <f>VLOOKUP(I601,[1]Lookup!$D$2:$E$5,2,FALSE)</f>
        <v>Mist / Cloudy</v>
      </c>
      <c r="U601" s="1" t="str">
        <f>IF(F601&lt;6,"Night",
IF(F601&lt;12,"Morning",
IF(F601&lt;17,"Afternoon",
IF(F601&lt;21,"Evening","Night"))))</f>
        <v>Night</v>
      </c>
      <c r="V601" s="1" t="str">
        <f>IF(J601&lt;0.3,"Cold",
IF(J601&lt;0.6,"Pleasant","Hot"))</f>
        <v>Cold</v>
      </c>
      <c r="W601" s="1" t="str">
        <f>IF(L601&lt;0.4,"Low",
IF(L601&lt;0.7,"Medium","High"))</f>
        <v>High</v>
      </c>
      <c r="X601" s="1" t="str">
        <f>IF(M601&lt;0.2,"Low",
IF(M601&lt;0.4,"Medium","High"))</f>
        <v>Low</v>
      </c>
      <c r="Y601" s="1" t="str">
        <f>IF(P601&lt;100,"Low",
IF(P601&lt;300,"Medium","High"))</f>
        <v>Low</v>
      </c>
    </row>
    <row r="602" spans="1:25" x14ac:dyDescent="0.3">
      <c r="A602">
        <v>601</v>
      </c>
      <c r="B602" s="2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  <c r="Q602" t="str">
        <f>VLOOKUP(MasterData[[#This Row],[season]],[1]Lookup!$A$2:$B$5,2,FALSE)</f>
        <v>Spring</v>
      </c>
      <c r="R602" t="str">
        <f>TEXT(DATE(2026,E602,1),"mmmm")</f>
        <v>January</v>
      </c>
      <c r="S602" t="str">
        <f>IF(OR(H602=0,H602=6),"Weekend","Weekday")</f>
        <v>Weekday</v>
      </c>
      <c r="T602" s="1" t="str">
        <f>VLOOKUP(I602,[1]Lookup!$D$2:$E$5,2,FALSE)</f>
        <v>Mist / Cloudy</v>
      </c>
      <c r="U602" s="1" t="str">
        <f>IF(F602&lt;6,"Night",
IF(F602&lt;12,"Morning",
IF(F602&lt;17,"Afternoon",
IF(F602&lt;21,"Evening","Night"))))</f>
        <v>Morning</v>
      </c>
      <c r="V602" s="1" t="str">
        <f>IF(J602&lt;0.3,"Cold",
IF(J602&lt;0.6,"Pleasant","Hot"))</f>
        <v>Cold</v>
      </c>
      <c r="W602" s="1" t="str">
        <f>IF(L602&lt;0.4,"Low",
IF(L602&lt;0.7,"Medium","High"))</f>
        <v>High</v>
      </c>
      <c r="X602" s="1" t="str">
        <f>IF(M602&lt;0.2,"Low",
IF(M602&lt;0.4,"Medium","High"))</f>
        <v>Low</v>
      </c>
      <c r="Y602" s="1" t="str">
        <f>IF(P602&lt;100,"Low",
IF(P602&lt;300,"Medium","High"))</f>
        <v>Low</v>
      </c>
    </row>
    <row r="603" spans="1:25" x14ac:dyDescent="0.3">
      <c r="A603">
        <v>602</v>
      </c>
      <c r="B603" s="2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  <c r="Q603" t="str">
        <f>VLOOKUP(MasterData[[#This Row],[season]],[1]Lookup!$A$2:$B$5,2,FALSE)</f>
        <v>Spring</v>
      </c>
      <c r="R603" t="str">
        <f>TEXT(DATE(2026,E603,1),"mmmm")</f>
        <v>January</v>
      </c>
      <c r="S603" t="str">
        <f>IF(OR(H603=0,H603=6),"Weekend","Weekday")</f>
        <v>Weekday</v>
      </c>
      <c r="T603" s="1" t="str">
        <f>VLOOKUP(I603,[1]Lookup!$D$2:$E$5,2,FALSE)</f>
        <v>Mist / Cloudy</v>
      </c>
      <c r="U603" s="1" t="str">
        <f>IF(F603&lt;6,"Night",
IF(F603&lt;12,"Morning",
IF(F603&lt;17,"Afternoon",
IF(F603&lt;21,"Evening","Night"))))</f>
        <v>Morning</v>
      </c>
      <c r="V603" s="1" t="str">
        <f>IF(J603&lt;0.3,"Cold",
IF(J603&lt;0.6,"Pleasant","Hot"))</f>
        <v>Cold</v>
      </c>
      <c r="W603" s="1" t="str">
        <f>IF(L603&lt;0.4,"Low",
IF(L603&lt;0.7,"Medium","High"))</f>
        <v>High</v>
      </c>
      <c r="X603" s="1" t="str">
        <f>IF(M603&lt;0.2,"Low",
IF(M603&lt;0.4,"Medium","High"))</f>
        <v>Low</v>
      </c>
      <c r="Y603" s="1" t="str">
        <f>IF(P603&lt;100,"Low",
IF(P603&lt;300,"Medium","High"))</f>
        <v>Low</v>
      </c>
    </row>
    <row r="604" spans="1:25" x14ac:dyDescent="0.3">
      <c r="A604">
        <v>603</v>
      </c>
      <c r="B604" s="2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  <c r="Q604" t="str">
        <f>VLOOKUP(MasterData[[#This Row],[season]],[1]Lookup!$A$2:$B$5,2,FALSE)</f>
        <v>Spring</v>
      </c>
      <c r="R604" t="str">
        <f>TEXT(DATE(2026,E604,1),"mmmm")</f>
        <v>January</v>
      </c>
      <c r="S604" t="str">
        <f>IF(OR(H604=0,H604=6),"Weekend","Weekday")</f>
        <v>Weekday</v>
      </c>
      <c r="T604" s="1" t="str">
        <f>VLOOKUP(I604,[1]Lookup!$D$2:$E$5,2,FALSE)</f>
        <v>Mist / Cloudy</v>
      </c>
      <c r="U604" s="1" t="str">
        <f>IF(F604&lt;6,"Night",
IF(F604&lt;12,"Morning",
IF(F604&lt;17,"Afternoon",
IF(F604&lt;21,"Evening","Night"))))</f>
        <v>Morning</v>
      </c>
      <c r="V604" s="1" t="str">
        <f>IF(J604&lt;0.3,"Cold",
IF(J604&lt;0.6,"Pleasant","Hot"))</f>
        <v>Cold</v>
      </c>
      <c r="W604" s="1" t="str">
        <f>IF(L604&lt;0.4,"Low",
IF(L604&lt;0.7,"Medium","High"))</f>
        <v>High</v>
      </c>
      <c r="X604" s="1" t="str">
        <f>IF(M604&lt;0.2,"Low",
IF(M604&lt;0.4,"Medium","High"))</f>
        <v>Low</v>
      </c>
      <c r="Y604" s="1" t="str">
        <f>IF(P604&lt;100,"Low",
IF(P604&lt;300,"Medium","High"))</f>
        <v>Medium</v>
      </c>
    </row>
    <row r="605" spans="1:25" x14ac:dyDescent="0.3">
      <c r="A605">
        <v>604</v>
      </c>
      <c r="B605" s="2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  <c r="Q605" t="str">
        <f>VLOOKUP(MasterData[[#This Row],[season]],[1]Lookup!$A$2:$B$5,2,FALSE)</f>
        <v>Spring</v>
      </c>
      <c r="R605" t="str">
        <f>TEXT(DATE(2026,E605,1),"mmmm")</f>
        <v>January</v>
      </c>
      <c r="S605" t="str">
        <f>IF(OR(H605=0,H605=6),"Weekend","Weekday")</f>
        <v>Weekday</v>
      </c>
      <c r="T605" s="1" t="str">
        <f>VLOOKUP(I605,[1]Lookup!$D$2:$E$5,2,FALSE)</f>
        <v>Light Rain / Snow</v>
      </c>
      <c r="U605" s="1" t="str">
        <f>IF(F605&lt;6,"Night",
IF(F605&lt;12,"Morning",
IF(F605&lt;17,"Afternoon",
IF(F605&lt;21,"Evening","Night"))))</f>
        <v>Morning</v>
      </c>
      <c r="V605" s="1" t="str">
        <f>IF(J605&lt;0.3,"Cold",
IF(J605&lt;0.6,"Pleasant","Hot"))</f>
        <v>Cold</v>
      </c>
      <c r="W605" s="1" t="str">
        <f>IF(L605&lt;0.4,"Low",
IF(L605&lt;0.7,"Medium","High"))</f>
        <v>High</v>
      </c>
      <c r="X605" s="1" t="str">
        <f>IF(M605&lt;0.2,"Low",
IF(M605&lt;0.4,"Medium","High"))</f>
        <v>Low</v>
      </c>
      <c r="Y605" s="1" t="str">
        <f>IF(P605&lt;100,"Low",
IF(P605&lt;300,"Medium","High"))</f>
        <v>Medium</v>
      </c>
    </row>
    <row r="606" spans="1:25" x14ac:dyDescent="0.3">
      <c r="A606">
        <v>605</v>
      </c>
      <c r="B606" s="2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  <c r="Q606" t="str">
        <f>VLOOKUP(MasterData[[#This Row],[season]],[1]Lookup!$A$2:$B$5,2,FALSE)</f>
        <v>Spring</v>
      </c>
      <c r="R606" t="str">
        <f>TEXT(DATE(2026,E606,1),"mmmm")</f>
        <v>January</v>
      </c>
      <c r="S606" t="str">
        <f>IF(OR(H606=0,H606=6),"Weekend","Weekday")</f>
        <v>Weekday</v>
      </c>
      <c r="T606" s="1" t="str">
        <f>VLOOKUP(I606,[1]Lookup!$D$2:$E$5,2,FALSE)</f>
        <v>Light Rain / Snow</v>
      </c>
      <c r="U606" s="1" t="str">
        <f>IF(F606&lt;6,"Night",
IF(F606&lt;12,"Morning",
IF(F606&lt;17,"Afternoon",
IF(F606&lt;21,"Evening","Night"))))</f>
        <v>Morning</v>
      </c>
      <c r="V606" s="1" t="str">
        <f>IF(J606&lt;0.3,"Cold",
IF(J606&lt;0.6,"Pleasant","Hot"))</f>
        <v>Cold</v>
      </c>
      <c r="W606" s="1" t="str">
        <f>IF(L606&lt;0.4,"Low",
IF(L606&lt;0.7,"Medium","High"))</f>
        <v>High</v>
      </c>
      <c r="X606" s="1" t="str">
        <f>IF(M606&lt;0.2,"Low",
IF(M606&lt;0.4,"Medium","High"))</f>
        <v>Low</v>
      </c>
      <c r="Y606" s="1" t="str">
        <f>IF(P606&lt;100,"Low",
IF(P606&lt;300,"Medium","High"))</f>
        <v>Low</v>
      </c>
    </row>
    <row r="607" spans="1:25" x14ac:dyDescent="0.3">
      <c r="A607">
        <v>606</v>
      </c>
      <c r="B607" s="2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  <c r="Q607" t="str">
        <f>VLOOKUP(MasterData[[#This Row],[season]],[1]Lookup!$A$2:$B$5,2,FALSE)</f>
        <v>Spring</v>
      </c>
      <c r="R607" t="str">
        <f>TEXT(DATE(2026,E607,1),"mmmm")</f>
        <v>January</v>
      </c>
      <c r="S607" t="str">
        <f>IF(OR(H607=0,H607=6),"Weekend","Weekday")</f>
        <v>Weekday</v>
      </c>
      <c r="T607" s="1" t="str">
        <f>VLOOKUP(I607,[1]Lookup!$D$2:$E$5,2,FALSE)</f>
        <v>Light Rain / Snow</v>
      </c>
      <c r="U607" s="1" t="str">
        <f>IF(F607&lt;6,"Night",
IF(F607&lt;12,"Morning",
IF(F607&lt;17,"Afternoon",
IF(F607&lt;21,"Evening","Night"))))</f>
        <v>Morning</v>
      </c>
      <c r="V607" s="1" t="str">
        <f>IF(J607&lt;0.3,"Cold",
IF(J607&lt;0.6,"Pleasant","Hot"))</f>
        <v>Cold</v>
      </c>
      <c r="W607" s="1" t="str">
        <f>IF(L607&lt;0.4,"Low",
IF(L607&lt;0.7,"Medium","High"))</f>
        <v>High</v>
      </c>
      <c r="X607" s="1" t="str">
        <f>IF(M607&lt;0.2,"Low",
IF(M607&lt;0.4,"Medium","High"))</f>
        <v>Low</v>
      </c>
      <c r="Y607" s="1" t="str">
        <f>IF(P607&lt;100,"Low",
IF(P607&lt;300,"Medium","High"))</f>
        <v>Low</v>
      </c>
    </row>
    <row r="608" spans="1:25" x14ac:dyDescent="0.3">
      <c r="A608">
        <v>607</v>
      </c>
      <c r="B608" s="2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  <c r="Q608" t="str">
        <f>VLOOKUP(MasterData[[#This Row],[season]],[1]Lookup!$A$2:$B$5,2,FALSE)</f>
        <v>Spring</v>
      </c>
      <c r="R608" t="str">
        <f>TEXT(DATE(2026,E608,1),"mmmm")</f>
        <v>January</v>
      </c>
      <c r="S608" t="str">
        <f>IF(OR(H608=0,H608=6),"Weekend","Weekday")</f>
        <v>Weekday</v>
      </c>
      <c r="T608" s="1" t="str">
        <f>VLOOKUP(I608,[1]Lookup!$D$2:$E$5,2,FALSE)</f>
        <v>Light Rain / Snow</v>
      </c>
      <c r="U608" s="1" t="str">
        <f>IF(F608&lt;6,"Night",
IF(F608&lt;12,"Morning",
IF(F608&lt;17,"Afternoon",
IF(F608&lt;21,"Evening","Night"))))</f>
        <v>Afternoon</v>
      </c>
      <c r="V608" s="1" t="str">
        <f>IF(J608&lt;0.3,"Cold",
IF(J608&lt;0.6,"Pleasant","Hot"))</f>
        <v>Cold</v>
      </c>
      <c r="W608" s="1" t="str">
        <f>IF(L608&lt;0.4,"Low",
IF(L608&lt;0.7,"Medium","High"))</f>
        <v>High</v>
      </c>
      <c r="X608" s="1" t="str">
        <f>IF(M608&lt;0.2,"Low",
IF(M608&lt;0.4,"Medium","High"))</f>
        <v>Low</v>
      </c>
      <c r="Y608" s="1" t="str">
        <f>IF(P608&lt;100,"Low",
IF(P608&lt;300,"Medium","High"))</f>
        <v>Low</v>
      </c>
    </row>
    <row r="609" spans="1:25" x14ac:dyDescent="0.3">
      <c r="A609">
        <v>608</v>
      </c>
      <c r="B609" s="2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  <c r="Q609" t="str">
        <f>VLOOKUP(MasterData[[#This Row],[season]],[1]Lookup!$A$2:$B$5,2,FALSE)</f>
        <v>Spring</v>
      </c>
      <c r="R609" t="str">
        <f>TEXT(DATE(2026,E609,1),"mmmm")</f>
        <v>January</v>
      </c>
      <c r="S609" t="str">
        <f>IF(OR(H609=0,H609=6),"Weekend","Weekday")</f>
        <v>Weekday</v>
      </c>
      <c r="T609" s="1" t="str">
        <f>VLOOKUP(I609,[1]Lookup!$D$2:$E$5,2,FALSE)</f>
        <v>Light Rain / Snow</v>
      </c>
      <c r="U609" s="1" t="str">
        <f>IF(F609&lt;6,"Night",
IF(F609&lt;12,"Morning",
IF(F609&lt;17,"Afternoon",
IF(F609&lt;21,"Evening","Night"))))</f>
        <v>Afternoon</v>
      </c>
      <c r="V609" s="1" t="str">
        <f>IF(J609&lt;0.3,"Cold",
IF(J609&lt;0.6,"Pleasant","Hot"))</f>
        <v>Cold</v>
      </c>
      <c r="W609" s="1" t="str">
        <f>IF(L609&lt;0.4,"Low",
IF(L609&lt;0.7,"Medium","High"))</f>
        <v>High</v>
      </c>
      <c r="X609" s="1" t="str">
        <f>IF(M609&lt;0.2,"Low",
IF(M609&lt;0.4,"Medium","High"))</f>
        <v>Low</v>
      </c>
      <c r="Y609" s="1" t="str">
        <f>IF(P609&lt;100,"Low",
IF(P609&lt;300,"Medium","High"))</f>
        <v>Low</v>
      </c>
    </row>
    <row r="610" spans="1:25" x14ac:dyDescent="0.3">
      <c r="A610">
        <v>609</v>
      </c>
      <c r="B610" s="2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  <c r="Q610" t="str">
        <f>VLOOKUP(MasterData[[#This Row],[season]],[1]Lookup!$A$2:$B$5,2,FALSE)</f>
        <v>Spring</v>
      </c>
      <c r="R610" t="str">
        <f>TEXT(DATE(2026,E610,1),"mmmm")</f>
        <v>January</v>
      </c>
      <c r="S610" t="str">
        <f>IF(OR(H610=0,H610=6),"Weekend","Weekday")</f>
        <v>Weekday</v>
      </c>
      <c r="T610" s="1" t="str">
        <f>VLOOKUP(I610,[1]Lookup!$D$2:$E$5,2,FALSE)</f>
        <v>Light Rain / Snow</v>
      </c>
      <c r="U610" s="1" t="str">
        <f>IF(F610&lt;6,"Night",
IF(F610&lt;12,"Morning",
IF(F610&lt;17,"Afternoon",
IF(F610&lt;21,"Evening","Night"))))</f>
        <v>Afternoon</v>
      </c>
      <c r="V610" s="1" t="str">
        <f>IF(J610&lt;0.3,"Cold",
IF(J610&lt;0.6,"Pleasant","Hot"))</f>
        <v>Cold</v>
      </c>
      <c r="W610" s="1" t="str">
        <f>IF(L610&lt;0.4,"Low",
IF(L610&lt;0.7,"Medium","High"))</f>
        <v>High</v>
      </c>
      <c r="X610" s="1" t="str">
        <f>IF(M610&lt;0.2,"Low",
IF(M610&lt;0.4,"Medium","High"))</f>
        <v>Low</v>
      </c>
      <c r="Y610" s="1" t="str">
        <f>IF(P610&lt;100,"Low",
IF(P610&lt;300,"Medium","High"))</f>
        <v>Low</v>
      </c>
    </row>
    <row r="611" spans="1:25" x14ac:dyDescent="0.3">
      <c r="A611">
        <v>610</v>
      </c>
      <c r="B611" s="2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  <c r="Q611" t="str">
        <f>VLOOKUP(MasterData[[#This Row],[season]],[1]Lookup!$A$2:$B$5,2,FALSE)</f>
        <v>Spring</v>
      </c>
      <c r="R611" t="str">
        <f>TEXT(DATE(2026,E611,1),"mmmm")</f>
        <v>January</v>
      </c>
      <c r="S611" t="str">
        <f>IF(OR(H611=0,H611=6),"Weekend","Weekday")</f>
        <v>Weekday</v>
      </c>
      <c r="T611" s="1" t="str">
        <f>VLOOKUP(I611,[1]Lookup!$D$2:$E$5,2,FALSE)</f>
        <v>Mist / Cloudy</v>
      </c>
      <c r="U611" s="1" t="str">
        <f>IF(F611&lt;6,"Night",
IF(F611&lt;12,"Morning",
IF(F611&lt;17,"Afternoon",
IF(F611&lt;21,"Evening","Night"))))</f>
        <v>Afternoon</v>
      </c>
      <c r="V611" s="1" t="str">
        <f>IF(J611&lt;0.3,"Cold",
IF(J611&lt;0.6,"Pleasant","Hot"))</f>
        <v>Cold</v>
      </c>
      <c r="W611" s="1" t="str">
        <f>IF(L611&lt;0.4,"Low",
IF(L611&lt;0.7,"Medium","High"))</f>
        <v>High</v>
      </c>
      <c r="X611" s="1" t="str">
        <f>IF(M611&lt;0.2,"Low",
IF(M611&lt;0.4,"Medium","High"))</f>
        <v>Low</v>
      </c>
      <c r="Y611" s="1" t="str">
        <f>IF(P611&lt;100,"Low",
IF(P611&lt;300,"Medium","High"))</f>
        <v>Low</v>
      </c>
    </row>
    <row r="612" spans="1:25" x14ac:dyDescent="0.3">
      <c r="A612">
        <v>620</v>
      </c>
      <c r="B612" s="2">
        <v>40572</v>
      </c>
      <c r="C612">
        <v>1</v>
      </c>
      <c r="D612">
        <v>0</v>
      </c>
      <c r="E612">
        <v>1</v>
      </c>
      <c r="F612">
        <v>1</v>
      </c>
      <c r="G612" t="b">
        <v>0</v>
      </c>
      <c r="H612">
        <v>6</v>
      </c>
      <c r="I612">
        <v>1</v>
      </c>
      <c r="J612">
        <v>0.22</v>
      </c>
      <c r="K612">
        <v>0.2273</v>
      </c>
      <c r="L612">
        <v>0.64</v>
      </c>
      <c r="M612">
        <v>0.19400000000000001</v>
      </c>
      <c r="N612">
        <v>0</v>
      </c>
      <c r="O612">
        <v>20</v>
      </c>
      <c r="P612">
        <v>20</v>
      </c>
      <c r="Q612" t="str">
        <f>VLOOKUP(MasterData[[#This Row],[season]],[1]Lookup!$A$2:$B$5,2,FALSE)</f>
        <v>Spring</v>
      </c>
      <c r="R612" t="str">
        <f>TEXT(DATE(2026,E612,1),"mmmm")</f>
        <v>January</v>
      </c>
      <c r="S612" t="str">
        <f>IF(OR(H612=0,H612=6),"Weekend","Weekday")</f>
        <v>Weekend</v>
      </c>
      <c r="T612" s="1" t="str">
        <f>VLOOKUP(I612,[1]Lookup!$D$2:$E$5,2,FALSE)</f>
        <v>Clear</v>
      </c>
      <c r="U612" s="1" t="str">
        <f>IF(F612&lt;6,"Night",
IF(F612&lt;12,"Morning",
IF(F612&lt;17,"Afternoon",
IF(F612&lt;21,"Evening","Night"))))</f>
        <v>Night</v>
      </c>
      <c r="V612" s="1" t="str">
        <f>IF(J612&lt;0.3,"Cold",
IF(J612&lt;0.6,"Pleasant","Hot"))</f>
        <v>Cold</v>
      </c>
      <c r="W612" s="1" t="str">
        <f>IF(L612&lt;0.4,"Low",
IF(L612&lt;0.7,"Medium","High"))</f>
        <v>Medium</v>
      </c>
      <c r="X612" s="1" t="str">
        <f>IF(M612&lt;0.2,"Low",
IF(M612&lt;0.4,"Medium","High"))</f>
        <v>Low</v>
      </c>
      <c r="Y612" s="1" t="str">
        <f>IF(P612&lt;100,"Low",
IF(P612&lt;300,"Medium","High"))</f>
        <v>Low</v>
      </c>
    </row>
    <row r="613" spans="1:25" x14ac:dyDescent="0.3">
      <c r="A613">
        <v>621</v>
      </c>
      <c r="B613" s="2">
        <v>40572</v>
      </c>
      <c r="C613">
        <v>1</v>
      </c>
      <c r="D613">
        <v>0</v>
      </c>
      <c r="E613">
        <v>1</v>
      </c>
      <c r="F613">
        <v>2</v>
      </c>
      <c r="G613" t="b">
        <v>0</v>
      </c>
      <c r="H613">
        <v>6</v>
      </c>
      <c r="I613">
        <v>1</v>
      </c>
      <c r="J613">
        <v>0.22</v>
      </c>
      <c r="K613">
        <v>0.2273</v>
      </c>
      <c r="L613">
        <v>0.64</v>
      </c>
      <c r="M613">
        <v>0.16420000000000001</v>
      </c>
      <c r="N613">
        <v>0</v>
      </c>
      <c r="O613">
        <v>15</v>
      </c>
      <c r="P613">
        <v>15</v>
      </c>
      <c r="Q613" t="str">
        <f>VLOOKUP(MasterData[[#This Row],[season]],[1]Lookup!$A$2:$B$5,2,FALSE)</f>
        <v>Spring</v>
      </c>
      <c r="R613" t="str">
        <f>TEXT(DATE(2026,E613,1),"mmmm")</f>
        <v>January</v>
      </c>
      <c r="S613" t="str">
        <f>IF(OR(H613=0,H613=6),"Weekend","Weekday")</f>
        <v>Weekend</v>
      </c>
      <c r="T613" s="1" t="str">
        <f>VLOOKUP(I613,[1]Lookup!$D$2:$E$5,2,FALSE)</f>
        <v>Clear</v>
      </c>
      <c r="U613" s="1" t="str">
        <f>IF(F613&lt;6,"Night",
IF(F613&lt;12,"Morning",
IF(F613&lt;17,"Afternoon",
IF(F613&lt;21,"Evening","Night"))))</f>
        <v>Night</v>
      </c>
      <c r="V613" s="1" t="str">
        <f>IF(J613&lt;0.3,"Cold",
IF(J613&lt;0.6,"Pleasant","Hot"))</f>
        <v>Cold</v>
      </c>
      <c r="W613" s="1" t="str">
        <f>IF(L613&lt;0.4,"Low",
IF(L613&lt;0.7,"Medium","High"))</f>
        <v>Medium</v>
      </c>
      <c r="X613" s="1" t="str">
        <f>IF(M613&lt;0.2,"Low",
IF(M613&lt;0.4,"Medium","High"))</f>
        <v>Low</v>
      </c>
      <c r="Y613" s="1" t="str">
        <f>IF(P613&lt;100,"Low",
IF(P613&lt;300,"Medium","High"))</f>
        <v>Low</v>
      </c>
    </row>
    <row r="614" spans="1:25" x14ac:dyDescent="0.3">
      <c r="A614">
        <v>622</v>
      </c>
      <c r="B614" s="2">
        <v>40572</v>
      </c>
      <c r="C614">
        <v>1</v>
      </c>
      <c r="D614">
        <v>0</v>
      </c>
      <c r="E614">
        <v>1</v>
      </c>
      <c r="F614">
        <v>3</v>
      </c>
      <c r="G614" t="b">
        <v>0</v>
      </c>
      <c r="H614">
        <v>6</v>
      </c>
      <c r="I614">
        <v>1</v>
      </c>
      <c r="J614">
        <v>0.2</v>
      </c>
      <c r="K614">
        <v>0.21210000000000001</v>
      </c>
      <c r="L614">
        <v>0.64</v>
      </c>
      <c r="M614">
        <v>0.1343</v>
      </c>
      <c r="N614">
        <v>3</v>
      </c>
      <c r="O614">
        <v>5</v>
      </c>
      <c r="P614">
        <v>8</v>
      </c>
      <c r="Q614" t="str">
        <f>VLOOKUP(MasterData[[#This Row],[season]],[1]Lookup!$A$2:$B$5,2,FALSE)</f>
        <v>Spring</v>
      </c>
      <c r="R614" t="str">
        <f>TEXT(DATE(2026,E614,1),"mmmm")</f>
        <v>January</v>
      </c>
      <c r="S614" t="str">
        <f>IF(OR(H614=0,H614=6),"Weekend","Weekday")</f>
        <v>Weekend</v>
      </c>
      <c r="T614" s="1" t="str">
        <f>VLOOKUP(I614,[1]Lookup!$D$2:$E$5,2,FALSE)</f>
        <v>Clear</v>
      </c>
      <c r="U614" s="1" t="str">
        <f>IF(F614&lt;6,"Night",
IF(F614&lt;12,"Morning",
IF(F614&lt;17,"Afternoon",
IF(F614&lt;21,"Evening","Night"))))</f>
        <v>Night</v>
      </c>
      <c r="V614" s="1" t="str">
        <f>IF(J614&lt;0.3,"Cold",
IF(J614&lt;0.6,"Pleasant","Hot"))</f>
        <v>Cold</v>
      </c>
      <c r="W614" s="1" t="str">
        <f>IF(L614&lt;0.4,"Low",
IF(L614&lt;0.7,"Medium","High"))</f>
        <v>Medium</v>
      </c>
      <c r="X614" s="1" t="str">
        <f>IF(M614&lt;0.2,"Low",
IF(M614&lt;0.4,"Medium","High"))</f>
        <v>Low</v>
      </c>
      <c r="Y614" s="1" t="str">
        <f>IF(P614&lt;100,"Low",
IF(P614&lt;300,"Medium","High"))</f>
        <v>Low</v>
      </c>
    </row>
    <row r="615" spans="1:25" x14ac:dyDescent="0.3">
      <c r="A615">
        <v>623</v>
      </c>
      <c r="B615" s="2">
        <v>40572</v>
      </c>
      <c r="C615">
        <v>1</v>
      </c>
      <c r="D615">
        <v>0</v>
      </c>
      <c r="E615">
        <v>1</v>
      </c>
      <c r="F615">
        <v>4</v>
      </c>
      <c r="G615" t="b">
        <v>0</v>
      </c>
      <c r="H615">
        <v>6</v>
      </c>
      <c r="I615">
        <v>1</v>
      </c>
      <c r="J615">
        <v>0.16</v>
      </c>
      <c r="K615">
        <v>0.18179999999999999</v>
      </c>
      <c r="L615">
        <v>0.69</v>
      </c>
      <c r="M615">
        <v>0.1045</v>
      </c>
      <c r="N615">
        <v>1</v>
      </c>
      <c r="O615">
        <v>2</v>
      </c>
      <c r="P615">
        <v>3</v>
      </c>
      <c r="Q615" t="str">
        <f>VLOOKUP(MasterData[[#This Row],[season]],[1]Lookup!$A$2:$B$5,2,FALSE)</f>
        <v>Spring</v>
      </c>
      <c r="R615" t="str">
        <f>TEXT(DATE(2026,E615,1),"mmmm")</f>
        <v>January</v>
      </c>
      <c r="S615" t="str">
        <f>IF(OR(H615=0,H615=6),"Weekend","Weekday")</f>
        <v>Weekend</v>
      </c>
      <c r="T615" s="1" t="str">
        <f>VLOOKUP(I615,[1]Lookup!$D$2:$E$5,2,FALSE)</f>
        <v>Clear</v>
      </c>
      <c r="U615" s="1" t="str">
        <f>IF(F615&lt;6,"Night",
IF(F615&lt;12,"Morning",
IF(F615&lt;17,"Afternoon",
IF(F615&lt;21,"Evening","Night"))))</f>
        <v>Night</v>
      </c>
      <c r="V615" s="1" t="str">
        <f>IF(J615&lt;0.3,"Cold",
IF(J615&lt;0.6,"Pleasant","Hot"))</f>
        <v>Cold</v>
      </c>
      <c r="W615" s="1" t="str">
        <f>IF(L615&lt;0.4,"Low",
IF(L615&lt;0.7,"Medium","High"))</f>
        <v>Medium</v>
      </c>
      <c r="X615" s="1" t="str">
        <f>IF(M615&lt;0.2,"Low",
IF(M615&lt;0.4,"Medium","High"))</f>
        <v>Low</v>
      </c>
      <c r="Y615" s="1" t="str">
        <f>IF(P615&lt;100,"Low",
IF(P615&lt;300,"Medium","High"))</f>
        <v>Low</v>
      </c>
    </row>
    <row r="616" spans="1:25" x14ac:dyDescent="0.3">
      <c r="A616">
        <v>624</v>
      </c>
      <c r="B616" s="2">
        <v>40572</v>
      </c>
      <c r="C616">
        <v>1</v>
      </c>
      <c r="D616">
        <v>0</v>
      </c>
      <c r="E616">
        <v>1</v>
      </c>
      <c r="F616">
        <v>6</v>
      </c>
      <c r="G616" t="b">
        <v>0</v>
      </c>
      <c r="H616">
        <v>6</v>
      </c>
      <c r="I616">
        <v>1</v>
      </c>
      <c r="J616">
        <v>0.16</v>
      </c>
      <c r="K616">
        <v>0.18179999999999999</v>
      </c>
      <c r="L616">
        <v>0.64</v>
      </c>
      <c r="M616">
        <v>0.1343</v>
      </c>
      <c r="N616">
        <v>0</v>
      </c>
      <c r="O616">
        <v>2</v>
      </c>
      <c r="P616">
        <v>2</v>
      </c>
      <c r="Q616" t="str">
        <f>VLOOKUP(MasterData[[#This Row],[season]],[1]Lookup!$A$2:$B$5,2,FALSE)</f>
        <v>Spring</v>
      </c>
      <c r="R616" t="str">
        <f>TEXT(DATE(2026,E616,1),"mmmm")</f>
        <v>January</v>
      </c>
      <c r="S616" t="str">
        <f>IF(OR(H616=0,H616=6),"Weekend","Weekday")</f>
        <v>Weekend</v>
      </c>
      <c r="T616" s="1" t="str">
        <f>VLOOKUP(I616,[1]Lookup!$D$2:$E$5,2,FALSE)</f>
        <v>Clear</v>
      </c>
      <c r="U616" s="1" t="str">
        <f>IF(F616&lt;6,"Night",
IF(F616&lt;12,"Morning",
IF(F616&lt;17,"Afternoon",
IF(F616&lt;21,"Evening","Night"))))</f>
        <v>Morning</v>
      </c>
      <c r="V616" s="1" t="str">
        <f>IF(J616&lt;0.3,"Cold",
IF(J616&lt;0.6,"Pleasant","Hot"))</f>
        <v>Cold</v>
      </c>
      <c r="W616" s="1" t="str">
        <f>IF(L616&lt;0.4,"Low",
IF(L616&lt;0.7,"Medium","High"))</f>
        <v>Medium</v>
      </c>
      <c r="X616" s="1" t="str">
        <f>IF(M616&lt;0.2,"Low",
IF(M616&lt;0.4,"Medium","High"))</f>
        <v>Low</v>
      </c>
      <c r="Y616" s="1" t="str">
        <f>IF(P616&lt;100,"Low",
IF(P616&lt;300,"Medium","High"))</f>
        <v>Low</v>
      </c>
    </row>
    <row r="617" spans="1:25" x14ac:dyDescent="0.3">
      <c r="A617">
        <v>625</v>
      </c>
      <c r="B617" s="2">
        <v>40572</v>
      </c>
      <c r="C617">
        <v>1</v>
      </c>
      <c r="D617">
        <v>0</v>
      </c>
      <c r="E617">
        <v>1</v>
      </c>
      <c r="F617">
        <v>7</v>
      </c>
      <c r="G617" t="b">
        <v>0</v>
      </c>
      <c r="H617">
        <v>6</v>
      </c>
      <c r="I617">
        <v>1</v>
      </c>
      <c r="J617">
        <v>0.16</v>
      </c>
      <c r="K617">
        <v>0.18179999999999999</v>
      </c>
      <c r="L617">
        <v>0.59</v>
      </c>
      <c r="M617">
        <v>0.1045</v>
      </c>
      <c r="N617">
        <v>1</v>
      </c>
      <c r="O617">
        <v>4</v>
      </c>
      <c r="P617">
        <v>5</v>
      </c>
      <c r="Q617" t="str">
        <f>VLOOKUP(MasterData[[#This Row],[season]],[1]Lookup!$A$2:$B$5,2,FALSE)</f>
        <v>Spring</v>
      </c>
      <c r="R617" t="str">
        <f>TEXT(DATE(2026,E617,1),"mmmm")</f>
        <v>January</v>
      </c>
      <c r="S617" t="str">
        <f>IF(OR(H617=0,H617=6),"Weekend","Weekday")</f>
        <v>Weekend</v>
      </c>
      <c r="T617" s="1" t="str">
        <f>VLOOKUP(I617,[1]Lookup!$D$2:$E$5,2,FALSE)</f>
        <v>Clear</v>
      </c>
      <c r="U617" s="1" t="str">
        <f>IF(F617&lt;6,"Night",
IF(F617&lt;12,"Morning",
IF(F617&lt;17,"Afternoon",
IF(F617&lt;21,"Evening","Night"))))</f>
        <v>Morning</v>
      </c>
      <c r="V617" s="1" t="str">
        <f>IF(J617&lt;0.3,"Cold",
IF(J617&lt;0.6,"Pleasant","Hot"))</f>
        <v>Cold</v>
      </c>
      <c r="W617" s="1" t="str">
        <f>IF(L617&lt;0.4,"Low",
IF(L617&lt;0.7,"Medium","High"))</f>
        <v>Medium</v>
      </c>
      <c r="X617" s="1" t="str">
        <f>IF(M617&lt;0.2,"Low",
IF(M617&lt;0.4,"Medium","High"))</f>
        <v>Low</v>
      </c>
      <c r="Y617" s="1" t="str">
        <f>IF(P617&lt;100,"Low",
IF(P617&lt;300,"Medium","High"))</f>
        <v>Low</v>
      </c>
    </row>
    <row r="618" spans="1:25" x14ac:dyDescent="0.3">
      <c r="A618">
        <v>626</v>
      </c>
      <c r="B618" s="2">
        <v>40572</v>
      </c>
      <c r="C618">
        <v>1</v>
      </c>
      <c r="D618">
        <v>0</v>
      </c>
      <c r="E618">
        <v>1</v>
      </c>
      <c r="F618">
        <v>8</v>
      </c>
      <c r="G618" t="b">
        <v>0</v>
      </c>
      <c r="H618">
        <v>6</v>
      </c>
      <c r="I618">
        <v>1</v>
      </c>
      <c r="J618">
        <v>0.18</v>
      </c>
      <c r="K618">
        <v>0.19700000000000001</v>
      </c>
      <c r="L618">
        <v>0.55000000000000004</v>
      </c>
      <c r="M618">
        <v>0.16420000000000001</v>
      </c>
      <c r="N618">
        <v>3</v>
      </c>
      <c r="O618">
        <v>31</v>
      </c>
      <c r="P618">
        <v>34</v>
      </c>
      <c r="Q618" t="str">
        <f>VLOOKUP(MasterData[[#This Row],[season]],[1]Lookup!$A$2:$B$5,2,FALSE)</f>
        <v>Spring</v>
      </c>
      <c r="R618" t="str">
        <f>TEXT(DATE(2026,E618,1),"mmmm")</f>
        <v>January</v>
      </c>
      <c r="S618" t="str">
        <f>IF(OR(H618=0,H618=6),"Weekend","Weekday")</f>
        <v>Weekend</v>
      </c>
      <c r="T618" s="1" t="str">
        <f>VLOOKUP(I618,[1]Lookup!$D$2:$E$5,2,FALSE)</f>
        <v>Clear</v>
      </c>
      <c r="U618" s="1" t="str">
        <f>IF(F618&lt;6,"Night",
IF(F618&lt;12,"Morning",
IF(F618&lt;17,"Afternoon",
IF(F618&lt;21,"Evening","Night"))))</f>
        <v>Morning</v>
      </c>
      <c r="V618" s="1" t="str">
        <f>IF(J618&lt;0.3,"Cold",
IF(J618&lt;0.6,"Pleasant","Hot"))</f>
        <v>Cold</v>
      </c>
      <c r="W618" s="1" t="str">
        <f>IF(L618&lt;0.4,"Low",
IF(L618&lt;0.7,"Medium","High"))</f>
        <v>Medium</v>
      </c>
      <c r="X618" s="1" t="str">
        <f>IF(M618&lt;0.2,"Low",
IF(M618&lt;0.4,"Medium","High"))</f>
        <v>Low</v>
      </c>
      <c r="Y618" s="1" t="str">
        <f>IF(P618&lt;100,"Low",
IF(P618&lt;300,"Medium","High"))</f>
        <v>Low</v>
      </c>
    </row>
    <row r="619" spans="1:25" x14ac:dyDescent="0.3">
      <c r="A619">
        <v>627</v>
      </c>
      <c r="B619" s="2">
        <v>40572</v>
      </c>
      <c r="C619">
        <v>1</v>
      </c>
      <c r="D619">
        <v>0</v>
      </c>
      <c r="E619">
        <v>1</v>
      </c>
      <c r="F619">
        <v>9</v>
      </c>
      <c r="G619" t="b">
        <v>0</v>
      </c>
      <c r="H619">
        <v>6</v>
      </c>
      <c r="I619">
        <v>1</v>
      </c>
      <c r="J619">
        <v>0.18</v>
      </c>
      <c r="K619">
        <v>0.21210000000000001</v>
      </c>
      <c r="L619">
        <v>0.59</v>
      </c>
      <c r="M619">
        <v>8.9599999999999999E-2</v>
      </c>
      <c r="N619">
        <v>0</v>
      </c>
      <c r="O619">
        <v>34</v>
      </c>
      <c r="P619">
        <v>34</v>
      </c>
      <c r="Q619" t="str">
        <f>VLOOKUP(MasterData[[#This Row],[season]],[1]Lookup!$A$2:$B$5,2,FALSE)</f>
        <v>Spring</v>
      </c>
      <c r="R619" t="str">
        <f>TEXT(DATE(2026,E619,1),"mmmm")</f>
        <v>January</v>
      </c>
      <c r="S619" t="str">
        <f>IF(OR(H619=0,H619=6),"Weekend","Weekday")</f>
        <v>Weekend</v>
      </c>
      <c r="T619" s="1" t="str">
        <f>VLOOKUP(I619,[1]Lookup!$D$2:$E$5,2,FALSE)</f>
        <v>Clear</v>
      </c>
      <c r="U619" s="1" t="str">
        <f>IF(F619&lt;6,"Night",
IF(F619&lt;12,"Morning",
IF(F619&lt;17,"Afternoon",
IF(F619&lt;21,"Evening","Night"))))</f>
        <v>Morning</v>
      </c>
      <c r="V619" s="1" t="str">
        <f>IF(J619&lt;0.3,"Cold",
IF(J619&lt;0.6,"Pleasant","Hot"))</f>
        <v>Cold</v>
      </c>
      <c r="W619" s="1" t="str">
        <f>IF(L619&lt;0.4,"Low",
IF(L619&lt;0.7,"Medium","High"))</f>
        <v>Medium</v>
      </c>
      <c r="X619" s="1" t="str">
        <f>IF(M619&lt;0.2,"Low",
IF(M619&lt;0.4,"Medium","High"))</f>
        <v>Low</v>
      </c>
      <c r="Y619" s="1" t="str">
        <f>IF(P619&lt;100,"Low",
IF(P619&lt;300,"Medium","High"))</f>
        <v>Low</v>
      </c>
    </row>
    <row r="620" spans="1:25" x14ac:dyDescent="0.3">
      <c r="A620">
        <v>628</v>
      </c>
      <c r="B620" s="2">
        <v>40572</v>
      </c>
      <c r="C620">
        <v>1</v>
      </c>
      <c r="D620">
        <v>0</v>
      </c>
      <c r="E620">
        <v>1</v>
      </c>
      <c r="F620">
        <v>10</v>
      </c>
      <c r="G620" t="b">
        <v>0</v>
      </c>
      <c r="H620">
        <v>6</v>
      </c>
      <c r="I620">
        <v>2</v>
      </c>
      <c r="J620">
        <v>0.18</v>
      </c>
      <c r="K620">
        <v>0.21210000000000001</v>
      </c>
      <c r="L620">
        <v>0.64</v>
      </c>
      <c r="M620">
        <v>0.1045</v>
      </c>
      <c r="N620">
        <v>4</v>
      </c>
      <c r="O620">
        <v>51</v>
      </c>
      <c r="P620">
        <v>55</v>
      </c>
      <c r="Q620" t="str">
        <f>VLOOKUP(MasterData[[#This Row],[season]],[1]Lookup!$A$2:$B$5,2,FALSE)</f>
        <v>Spring</v>
      </c>
      <c r="R620" t="str">
        <f>TEXT(DATE(2026,E620,1),"mmmm")</f>
        <v>January</v>
      </c>
      <c r="S620" t="str">
        <f>IF(OR(H620=0,H620=6),"Weekend","Weekday")</f>
        <v>Weekend</v>
      </c>
      <c r="T620" s="1" t="str">
        <f>VLOOKUP(I620,[1]Lookup!$D$2:$E$5,2,FALSE)</f>
        <v>Mist / Cloudy</v>
      </c>
      <c r="U620" s="1" t="str">
        <f>IF(F620&lt;6,"Night",
IF(F620&lt;12,"Morning",
IF(F620&lt;17,"Afternoon",
IF(F620&lt;21,"Evening","Night"))))</f>
        <v>Morning</v>
      </c>
      <c r="V620" s="1" t="str">
        <f>IF(J620&lt;0.3,"Cold",
IF(J620&lt;0.6,"Pleasant","Hot"))</f>
        <v>Cold</v>
      </c>
      <c r="W620" s="1" t="str">
        <f>IF(L620&lt;0.4,"Low",
IF(L620&lt;0.7,"Medium","High"))</f>
        <v>Medium</v>
      </c>
      <c r="X620" s="1" t="str">
        <f>IF(M620&lt;0.2,"Low",
IF(M620&lt;0.4,"Medium","High"))</f>
        <v>Low</v>
      </c>
      <c r="Y620" s="1" t="str">
        <f>IF(P620&lt;100,"Low",
IF(P620&lt;300,"Medium","High"))</f>
        <v>Low</v>
      </c>
    </row>
    <row r="621" spans="1:25" x14ac:dyDescent="0.3">
      <c r="A621">
        <v>629</v>
      </c>
      <c r="B621" s="2">
        <v>40572</v>
      </c>
      <c r="C621">
        <v>1</v>
      </c>
      <c r="D621">
        <v>0</v>
      </c>
      <c r="E621">
        <v>1</v>
      </c>
      <c r="F621">
        <v>11</v>
      </c>
      <c r="G621" t="b">
        <v>0</v>
      </c>
      <c r="H621">
        <v>6</v>
      </c>
      <c r="I621">
        <v>2</v>
      </c>
      <c r="J621">
        <v>0.18</v>
      </c>
      <c r="K621">
        <v>0.19700000000000001</v>
      </c>
      <c r="L621">
        <v>0.64</v>
      </c>
      <c r="M621">
        <v>0.1343</v>
      </c>
      <c r="N621">
        <v>4</v>
      </c>
      <c r="O621">
        <v>60</v>
      </c>
      <c r="P621">
        <v>64</v>
      </c>
      <c r="Q621" t="str">
        <f>VLOOKUP(MasterData[[#This Row],[season]],[1]Lookup!$A$2:$B$5,2,FALSE)</f>
        <v>Spring</v>
      </c>
      <c r="R621" t="str">
        <f>TEXT(DATE(2026,E621,1),"mmmm")</f>
        <v>January</v>
      </c>
      <c r="S621" t="str">
        <f>IF(OR(H621=0,H621=6),"Weekend","Weekday")</f>
        <v>Weekend</v>
      </c>
      <c r="T621" s="1" t="str">
        <f>VLOOKUP(I621,[1]Lookup!$D$2:$E$5,2,FALSE)</f>
        <v>Mist / Cloudy</v>
      </c>
      <c r="U621" s="1" t="str">
        <f>IF(F621&lt;6,"Night",
IF(F621&lt;12,"Morning",
IF(F621&lt;17,"Afternoon",
IF(F621&lt;21,"Evening","Night"))))</f>
        <v>Morning</v>
      </c>
      <c r="V621" s="1" t="str">
        <f>IF(J621&lt;0.3,"Cold",
IF(J621&lt;0.6,"Pleasant","Hot"))</f>
        <v>Cold</v>
      </c>
      <c r="W621" s="1" t="str">
        <f>IF(L621&lt;0.4,"Low",
IF(L621&lt;0.7,"Medium","High"))</f>
        <v>Medium</v>
      </c>
      <c r="X621" s="1" t="str">
        <f>IF(M621&lt;0.2,"Low",
IF(M621&lt;0.4,"Medium","High"))</f>
        <v>Low</v>
      </c>
      <c r="Y621" s="1" t="str">
        <f>IF(P621&lt;100,"Low",
IF(P621&lt;300,"Medium","High"))</f>
        <v>Low</v>
      </c>
    </row>
    <row r="622" spans="1:25" x14ac:dyDescent="0.3">
      <c r="A622">
        <v>630</v>
      </c>
      <c r="B622" s="2">
        <v>40572</v>
      </c>
      <c r="C622">
        <v>1</v>
      </c>
      <c r="D622">
        <v>0</v>
      </c>
      <c r="E622">
        <v>1</v>
      </c>
      <c r="F622">
        <v>12</v>
      </c>
      <c r="G622" t="b">
        <v>0</v>
      </c>
      <c r="H622">
        <v>6</v>
      </c>
      <c r="I622">
        <v>2</v>
      </c>
      <c r="J622">
        <v>0.2</v>
      </c>
      <c r="K622">
        <v>0.19700000000000001</v>
      </c>
      <c r="L622">
        <v>0.59</v>
      </c>
      <c r="M622">
        <v>0.19400000000000001</v>
      </c>
      <c r="N622">
        <v>12</v>
      </c>
      <c r="O622">
        <v>66</v>
      </c>
      <c r="P622">
        <v>78</v>
      </c>
      <c r="Q622" t="str">
        <f>VLOOKUP(MasterData[[#This Row],[season]],[1]Lookup!$A$2:$B$5,2,FALSE)</f>
        <v>Spring</v>
      </c>
      <c r="R622" t="str">
        <f>TEXT(DATE(2026,E622,1),"mmmm")</f>
        <v>January</v>
      </c>
      <c r="S622" t="str">
        <f>IF(OR(H622=0,H622=6),"Weekend","Weekday")</f>
        <v>Weekend</v>
      </c>
      <c r="T622" s="1" t="str">
        <f>VLOOKUP(I622,[1]Lookup!$D$2:$E$5,2,FALSE)</f>
        <v>Mist / Cloudy</v>
      </c>
      <c r="U622" s="1" t="str">
        <f>IF(F622&lt;6,"Night",
IF(F622&lt;12,"Morning",
IF(F622&lt;17,"Afternoon",
IF(F622&lt;21,"Evening","Night"))))</f>
        <v>Afternoon</v>
      </c>
      <c r="V622" s="1" t="str">
        <f>IF(J622&lt;0.3,"Cold",
IF(J622&lt;0.6,"Pleasant","Hot"))</f>
        <v>Cold</v>
      </c>
      <c r="W622" s="1" t="str">
        <f>IF(L622&lt;0.4,"Low",
IF(L622&lt;0.7,"Medium","High"))</f>
        <v>Medium</v>
      </c>
      <c r="X622" s="1" t="str">
        <f>IF(M622&lt;0.2,"Low",
IF(M622&lt;0.4,"Medium","High"))</f>
        <v>Low</v>
      </c>
      <c r="Y622" s="1" t="str">
        <f>IF(P622&lt;100,"Low",
IF(P622&lt;300,"Medium","High"))</f>
        <v>Low</v>
      </c>
    </row>
    <row r="623" spans="1:25" x14ac:dyDescent="0.3">
      <c r="A623">
        <v>631</v>
      </c>
      <c r="B623" s="2">
        <v>40572</v>
      </c>
      <c r="C623">
        <v>1</v>
      </c>
      <c r="D623">
        <v>0</v>
      </c>
      <c r="E623">
        <v>1</v>
      </c>
      <c r="F623">
        <v>13</v>
      </c>
      <c r="G623" t="b">
        <v>0</v>
      </c>
      <c r="H623">
        <v>6</v>
      </c>
      <c r="I623">
        <v>2</v>
      </c>
      <c r="J623">
        <v>0.22</v>
      </c>
      <c r="K623">
        <v>0.2273</v>
      </c>
      <c r="L623">
        <v>0.55000000000000004</v>
      </c>
      <c r="M623">
        <v>0.16420000000000001</v>
      </c>
      <c r="N623">
        <v>9</v>
      </c>
      <c r="O623">
        <v>56</v>
      </c>
      <c r="P623">
        <v>65</v>
      </c>
      <c r="Q623" t="str">
        <f>VLOOKUP(MasterData[[#This Row],[season]],[1]Lookup!$A$2:$B$5,2,FALSE)</f>
        <v>Spring</v>
      </c>
      <c r="R623" t="str">
        <f>TEXT(DATE(2026,E623,1),"mmmm")</f>
        <v>January</v>
      </c>
      <c r="S623" t="str">
        <f>IF(OR(H623=0,H623=6),"Weekend","Weekday")</f>
        <v>Weekend</v>
      </c>
      <c r="T623" s="1" t="str">
        <f>VLOOKUP(I623,[1]Lookup!$D$2:$E$5,2,FALSE)</f>
        <v>Mist / Cloudy</v>
      </c>
      <c r="U623" s="1" t="str">
        <f>IF(F623&lt;6,"Night",
IF(F623&lt;12,"Morning",
IF(F623&lt;17,"Afternoon",
IF(F623&lt;21,"Evening","Night"))))</f>
        <v>Afternoon</v>
      </c>
      <c r="V623" s="1" t="str">
        <f>IF(J623&lt;0.3,"Cold",
IF(J623&lt;0.6,"Pleasant","Hot"))</f>
        <v>Cold</v>
      </c>
      <c r="W623" s="1" t="str">
        <f>IF(L623&lt;0.4,"Low",
IF(L623&lt;0.7,"Medium","High"))</f>
        <v>Medium</v>
      </c>
      <c r="X623" s="1" t="str">
        <f>IF(M623&lt;0.2,"Low",
IF(M623&lt;0.4,"Medium","High"))</f>
        <v>Low</v>
      </c>
      <c r="Y623" s="1" t="str">
        <f>IF(P623&lt;100,"Low",
IF(P623&lt;300,"Medium","High"))</f>
        <v>Low</v>
      </c>
    </row>
    <row r="624" spans="1:25" x14ac:dyDescent="0.3">
      <c r="A624">
        <v>632</v>
      </c>
      <c r="B624" s="2">
        <v>40572</v>
      </c>
      <c r="C624">
        <v>1</v>
      </c>
      <c r="D624">
        <v>0</v>
      </c>
      <c r="E624">
        <v>1</v>
      </c>
      <c r="F624">
        <v>14</v>
      </c>
      <c r="G624" t="b">
        <v>0</v>
      </c>
      <c r="H624">
        <v>6</v>
      </c>
      <c r="I624">
        <v>2</v>
      </c>
      <c r="J624">
        <v>0.22</v>
      </c>
      <c r="K624">
        <v>0.2273</v>
      </c>
      <c r="L624">
        <v>0.6</v>
      </c>
      <c r="M624">
        <v>0.1343</v>
      </c>
      <c r="N624">
        <v>10</v>
      </c>
      <c r="O624">
        <v>89</v>
      </c>
      <c r="P624">
        <v>99</v>
      </c>
      <c r="Q624" t="str">
        <f>VLOOKUP(MasterData[[#This Row],[season]],[1]Lookup!$A$2:$B$5,2,FALSE)</f>
        <v>Spring</v>
      </c>
      <c r="R624" t="str">
        <f>TEXT(DATE(2026,E624,1),"mmmm")</f>
        <v>January</v>
      </c>
      <c r="S624" t="str">
        <f>IF(OR(H624=0,H624=6),"Weekend","Weekday")</f>
        <v>Weekend</v>
      </c>
      <c r="T624" s="1" t="str">
        <f>VLOOKUP(I624,[1]Lookup!$D$2:$E$5,2,FALSE)</f>
        <v>Mist / Cloudy</v>
      </c>
      <c r="U624" s="1" t="str">
        <f>IF(F624&lt;6,"Night",
IF(F624&lt;12,"Morning",
IF(F624&lt;17,"Afternoon",
IF(F624&lt;21,"Evening","Night"))))</f>
        <v>Afternoon</v>
      </c>
      <c r="V624" s="1" t="str">
        <f>IF(J624&lt;0.3,"Cold",
IF(J624&lt;0.6,"Pleasant","Hot"))</f>
        <v>Cold</v>
      </c>
      <c r="W624" s="1" t="str">
        <f>IF(L624&lt;0.4,"Low",
IF(L624&lt;0.7,"Medium","High"))</f>
        <v>Medium</v>
      </c>
      <c r="X624" s="1" t="str">
        <f>IF(M624&lt;0.2,"Low",
IF(M624&lt;0.4,"Medium","High"))</f>
        <v>Low</v>
      </c>
      <c r="Y624" s="1" t="str">
        <f>IF(P624&lt;100,"Low",
IF(P624&lt;300,"Medium","High"))</f>
        <v>Low</v>
      </c>
    </row>
    <row r="625" spans="1:25" x14ac:dyDescent="0.3">
      <c r="A625">
        <v>633</v>
      </c>
      <c r="B625" s="2">
        <v>40572</v>
      </c>
      <c r="C625">
        <v>1</v>
      </c>
      <c r="D625">
        <v>0</v>
      </c>
      <c r="E625">
        <v>1</v>
      </c>
      <c r="F625">
        <v>15</v>
      </c>
      <c r="G625" t="b">
        <v>0</v>
      </c>
      <c r="H625">
        <v>6</v>
      </c>
      <c r="I625">
        <v>1</v>
      </c>
      <c r="J625">
        <v>0.22</v>
      </c>
      <c r="K625">
        <v>0.21210000000000001</v>
      </c>
      <c r="L625">
        <v>0.69</v>
      </c>
      <c r="M625">
        <v>0.25369999999999998</v>
      </c>
      <c r="N625">
        <v>22</v>
      </c>
      <c r="O625">
        <v>98</v>
      </c>
      <c r="P625">
        <v>120</v>
      </c>
      <c r="Q625" t="str">
        <f>VLOOKUP(MasterData[[#This Row],[season]],[1]Lookup!$A$2:$B$5,2,FALSE)</f>
        <v>Spring</v>
      </c>
      <c r="R625" t="str">
        <f>TEXT(DATE(2026,E625,1),"mmmm")</f>
        <v>January</v>
      </c>
      <c r="S625" t="str">
        <f>IF(OR(H625=0,H625=6),"Weekend","Weekday")</f>
        <v>Weekend</v>
      </c>
      <c r="T625" s="1" t="str">
        <f>VLOOKUP(I625,[1]Lookup!$D$2:$E$5,2,FALSE)</f>
        <v>Clear</v>
      </c>
      <c r="U625" s="1" t="str">
        <f>IF(F625&lt;6,"Night",
IF(F625&lt;12,"Morning",
IF(F625&lt;17,"Afternoon",
IF(F625&lt;21,"Evening","Night"))))</f>
        <v>Afternoon</v>
      </c>
      <c r="V625" s="1" t="str">
        <f>IF(J625&lt;0.3,"Cold",
IF(J625&lt;0.6,"Pleasant","Hot"))</f>
        <v>Cold</v>
      </c>
      <c r="W625" s="1" t="str">
        <f>IF(L625&lt;0.4,"Low",
IF(L625&lt;0.7,"Medium","High"))</f>
        <v>Medium</v>
      </c>
      <c r="X625" s="1" t="str">
        <f>IF(M625&lt;0.2,"Low",
IF(M625&lt;0.4,"Medium","High"))</f>
        <v>Medium</v>
      </c>
      <c r="Y625" s="1" t="str">
        <f>IF(P625&lt;100,"Low",
IF(P625&lt;300,"Medium","High"))</f>
        <v>Medium</v>
      </c>
    </row>
    <row r="626" spans="1:25" x14ac:dyDescent="0.3">
      <c r="A626">
        <v>634</v>
      </c>
      <c r="B626" s="2">
        <v>40572</v>
      </c>
      <c r="C626">
        <v>1</v>
      </c>
      <c r="D626">
        <v>0</v>
      </c>
      <c r="E626">
        <v>1</v>
      </c>
      <c r="F626">
        <v>16</v>
      </c>
      <c r="G626" t="b">
        <v>0</v>
      </c>
      <c r="H626">
        <v>6</v>
      </c>
      <c r="I626">
        <v>1</v>
      </c>
      <c r="J626">
        <v>0.24</v>
      </c>
      <c r="K626">
        <v>0.2424</v>
      </c>
      <c r="L626">
        <v>0.6</v>
      </c>
      <c r="M626">
        <v>0.16420000000000001</v>
      </c>
      <c r="N626">
        <v>19</v>
      </c>
      <c r="O626">
        <v>88</v>
      </c>
      <c r="P626">
        <v>107</v>
      </c>
      <c r="Q626" t="str">
        <f>VLOOKUP(MasterData[[#This Row],[season]],[1]Lookup!$A$2:$B$5,2,FALSE)</f>
        <v>Spring</v>
      </c>
      <c r="R626" t="str">
        <f>TEXT(DATE(2026,E626,1),"mmmm")</f>
        <v>January</v>
      </c>
      <c r="S626" t="str">
        <f>IF(OR(H626=0,H626=6),"Weekend","Weekday")</f>
        <v>Weekend</v>
      </c>
      <c r="T626" s="1" t="str">
        <f>VLOOKUP(I626,[1]Lookup!$D$2:$E$5,2,FALSE)</f>
        <v>Clear</v>
      </c>
      <c r="U626" s="1" t="str">
        <f>IF(F626&lt;6,"Night",
IF(F626&lt;12,"Morning",
IF(F626&lt;17,"Afternoon",
IF(F626&lt;21,"Evening","Night"))))</f>
        <v>Afternoon</v>
      </c>
      <c r="V626" s="1" t="str">
        <f>IF(J626&lt;0.3,"Cold",
IF(J626&lt;0.6,"Pleasant","Hot"))</f>
        <v>Cold</v>
      </c>
      <c r="W626" s="1" t="str">
        <f>IF(L626&lt;0.4,"Low",
IF(L626&lt;0.7,"Medium","High"))</f>
        <v>Medium</v>
      </c>
      <c r="X626" s="1" t="str">
        <f>IF(M626&lt;0.2,"Low",
IF(M626&lt;0.4,"Medium","High"))</f>
        <v>Low</v>
      </c>
      <c r="Y626" s="1" t="str">
        <f>IF(P626&lt;100,"Low",
IF(P626&lt;300,"Medium","High"))</f>
        <v>Medium</v>
      </c>
    </row>
    <row r="627" spans="1:25" x14ac:dyDescent="0.3">
      <c r="A627">
        <v>635</v>
      </c>
      <c r="B627" s="2">
        <v>40572</v>
      </c>
      <c r="C627">
        <v>1</v>
      </c>
      <c r="D627">
        <v>0</v>
      </c>
      <c r="E627">
        <v>1</v>
      </c>
      <c r="F627">
        <v>17</v>
      </c>
      <c r="G627" t="b">
        <v>0</v>
      </c>
      <c r="H627">
        <v>6</v>
      </c>
      <c r="I627">
        <v>1</v>
      </c>
      <c r="J627">
        <v>0.24</v>
      </c>
      <c r="K627">
        <v>0.28789999999999999</v>
      </c>
      <c r="L627">
        <v>0.6</v>
      </c>
      <c r="M627">
        <v>0</v>
      </c>
      <c r="N627">
        <v>9</v>
      </c>
      <c r="O627">
        <v>82</v>
      </c>
      <c r="P627">
        <v>91</v>
      </c>
      <c r="Q627" t="str">
        <f>VLOOKUP(MasterData[[#This Row],[season]],[1]Lookup!$A$2:$B$5,2,FALSE)</f>
        <v>Spring</v>
      </c>
      <c r="R627" t="str">
        <f>TEXT(DATE(2026,E627,1),"mmmm")</f>
        <v>January</v>
      </c>
      <c r="S627" t="str">
        <f>IF(OR(H627=0,H627=6),"Weekend","Weekday")</f>
        <v>Weekend</v>
      </c>
      <c r="T627" s="1" t="str">
        <f>VLOOKUP(I627,[1]Lookup!$D$2:$E$5,2,FALSE)</f>
        <v>Clear</v>
      </c>
      <c r="U627" s="1" t="str">
        <f>IF(F627&lt;6,"Night",
IF(F627&lt;12,"Morning",
IF(F627&lt;17,"Afternoon",
IF(F627&lt;21,"Evening","Night"))))</f>
        <v>Evening</v>
      </c>
      <c r="V627" s="1" t="str">
        <f>IF(J627&lt;0.3,"Cold",
IF(J627&lt;0.6,"Pleasant","Hot"))</f>
        <v>Cold</v>
      </c>
      <c r="W627" s="1" t="str">
        <f>IF(L627&lt;0.4,"Low",
IF(L627&lt;0.7,"Medium","High"))</f>
        <v>Medium</v>
      </c>
      <c r="X627" s="1" t="str">
        <f>IF(M627&lt;0.2,"Low",
IF(M627&lt;0.4,"Medium","High"))</f>
        <v>Low</v>
      </c>
      <c r="Y627" s="1" t="str">
        <f>IF(P627&lt;100,"Low",
IF(P627&lt;300,"Medium","High"))</f>
        <v>Low</v>
      </c>
    </row>
    <row r="628" spans="1:25" x14ac:dyDescent="0.3">
      <c r="A628">
        <v>636</v>
      </c>
      <c r="B628" s="2">
        <v>40572</v>
      </c>
      <c r="C628">
        <v>1</v>
      </c>
      <c r="D628">
        <v>0</v>
      </c>
      <c r="E628">
        <v>1</v>
      </c>
      <c r="F628">
        <v>18</v>
      </c>
      <c r="G628" t="b">
        <v>0</v>
      </c>
      <c r="H628">
        <v>6</v>
      </c>
      <c r="I628">
        <v>1</v>
      </c>
      <c r="J628">
        <v>0.22</v>
      </c>
      <c r="K628">
        <v>0.2273</v>
      </c>
      <c r="L628">
        <v>0.69</v>
      </c>
      <c r="M628">
        <v>0.1343</v>
      </c>
      <c r="N628">
        <v>9</v>
      </c>
      <c r="O628">
        <v>59</v>
      </c>
      <c r="P628">
        <v>68</v>
      </c>
      <c r="Q628" t="str">
        <f>VLOOKUP(MasterData[[#This Row],[season]],[1]Lookup!$A$2:$B$5,2,FALSE)</f>
        <v>Spring</v>
      </c>
      <c r="R628" t="str">
        <f>TEXT(DATE(2026,E628,1),"mmmm")</f>
        <v>January</v>
      </c>
      <c r="S628" t="str">
        <f>IF(OR(H628=0,H628=6),"Weekend","Weekday")</f>
        <v>Weekend</v>
      </c>
      <c r="T628" s="1" t="str">
        <f>VLOOKUP(I628,[1]Lookup!$D$2:$E$5,2,FALSE)</f>
        <v>Clear</v>
      </c>
      <c r="U628" s="1" t="str">
        <f>IF(F628&lt;6,"Night",
IF(F628&lt;12,"Morning",
IF(F628&lt;17,"Afternoon",
IF(F628&lt;21,"Evening","Night"))))</f>
        <v>Evening</v>
      </c>
      <c r="V628" s="1" t="str">
        <f>IF(J628&lt;0.3,"Cold",
IF(J628&lt;0.6,"Pleasant","Hot"))</f>
        <v>Cold</v>
      </c>
      <c r="W628" s="1" t="str">
        <f>IF(L628&lt;0.4,"Low",
IF(L628&lt;0.7,"Medium","High"))</f>
        <v>Medium</v>
      </c>
      <c r="X628" s="1" t="str">
        <f>IF(M628&lt;0.2,"Low",
IF(M628&lt;0.4,"Medium","High"))</f>
        <v>Low</v>
      </c>
      <c r="Y628" s="1" t="str">
        <f>IF(P628&lt;100,"Low",
IF(P628&lt;300,"Medium","High"))</f>
        <v>Low</v>
      </c>
    </row>
    <row r="629" spans="1:25" x14ac:dyDescent="0.3">
      <c r="A629">
        <v>637</v>
      </c>
      <c r="B629" s="2">
        <v>40572</v>
      </c>
      <c r="C629">
        <v>1</v>
      </c>
      <c r="D629">
        <v>0</v>
      </c>
      <c r="E629">
        <v>1</v>
      </c>
      <c r="F629">
        <v>19</v>
      </c>
      <c r="G629" t="b">
        <v>0</v>
      </c>
      <c r="H629">
        <v>6</v>
      </c>
      <c r="I629">
        <v>2</v>
      </c>
      <c r="J629">
        <v>0.22</v>
      </c>
      <c r="K629">
        <v>0.21210000000000001</v>
      </c>
      <c r="L629">
        <v>0.69</v>
      </c>
      <c r="M629">
        <v>0.25369999999999998</v>
      </c>
      <c r="N629">
        <v>6</v>
      </c>
      <c r="O629">
        <v>52</v>
      </c>
      <c r="P629">
        <v>58</v>
      </c>
      <c r="Q629" t="str">
        <f>VLOOKUP(MasterData[[#This Row],[season]],[1]Lookup!$A$2:$B$5,2,FALSE)</f>
        <v>Spring</v>
      </c>
      <c r="R629" t="str">
        <f>TEXT(DATE(2026,E629,1),"mmmm")</f>
        <v>January</v>
      </c>
      <c r="S629" t="str">
        <f>IF(OR(H629=0,H629=6),"Weekend","Weekday")</f>
        <v>Weekend</v>
      </c>
      <c r="T629" s="1" t="str">
        <f>VLOOKUP(I629,[1]Lookup!$D$2:$E$5,2,FALSE)</f>
        <v>Mist / Cloudy</v>
      </c>
      <c r="U629" s="1" t="str">
        <f>IF(F629&lt;6,"Night",
IF(F629&lt;12,"Morning",
IF(F629&lt;17,"Afternoon",
IF(F629&lt;21,"Evening","Night"))))</f>
        <v>Evening</v>
      </c>
      <c r="V629" s="1" t="str">
        <f>IF(J629&lt;0.3,"Cold",
IF(J629&lt;0.6,"Pleasant","Hot"))</f>
        <v>Cold</v>
      </c>
      <c r="W629" s="1" t="str">
        <f>IF(L629&lt;0.4,"Low",
IF(L629&lt;0.7,"Medium","High"))</f>
        <v>Medium</v>
      </c>
      <c r="X629" s="1" t="str">
        <f>IF(M629&lt;0.2,"Low",
IF(M629&lt;0.4,"Medium","High"))</f>
        <v>Medium</v>
      </c>
      <c r="Y629" s="1" t="str">
        <f>IF(P629&lt;100,"Low",
IF(P629&lt;300,"Medium","High"))</f>
        <v>Low</v>
      </c>
    </row>
    <row r="630" spans="1:25" x14ac:dyDescent="0.3">
      <c r="A630">
        <v>638</v>
      </c>
      <c r="B630" s="2">
        <v>40572</v>
      </c>
      <c r="C630">
        <v>1</v>
      </c>
      <c r="D630">
        <v>0</v>
      </c>
      <c r="E630">
        <v>1</v>
      </c>
      <c r="F630">
        <v>20</v>
      </c>
      <c r="G630" t="b">
        <v>0</v>
      </c>
      <c r="H630">
        <v>6</v>
      </c>
      <c r="I630">
        <v>1</v>
      </c>
      <c r="J630">
        <v>0.18</v>
      </c>
      <c r="K630">
        <v>0.21210000000000001</v>
      </c>
      <c r="L630">
        <v>0.74</v>
      </c>
      <c r="M630">
        <v>8.9599999999999999E-2</v>
      </c>
      <c r="N630">
        <v>1</v>
      </c>
      <c r="O630">
        <v>42</v>
      </c>
      <c r="P630">
        <v>43</v>
      </c>
      <c r="Q630" t="str">
        <f>VLOOKUP(MasterData[[#This Row],[season]],[1]Lookup!$A$2:$B$5,2,FALSE)</f>
        <v>Spring</v>
      </c>
      <c r="R630" t="str">
        <f>TEXT(DATE(2026,E630,1),"mmmm")</f>
        <v>January</v>
      </c>
      <c r="S630" t="str">
        <f>IF(OR(H630=0,H630=6),"Weekend","Weekday")</f>
        <v>Weekend</v>
      </c>
      <c r="T630" s="1" t="str">
        <f>VLOOKUP(I630,[1]Lookup!$D$2:$E$5,2,FALSE)</f>
        <v>Clear</v>
      </c>
      <c r="U630" s="1" t="str">
        <f>IF(F630&lt;6,"Night",
IF(F630&lt;12,"Morning",
IF(F630&lt;17,"Afternoon",
IF(F630&lt;21,"Evening","Night"))))</f>
        <v>Evening</v>
      </c>
      <c r="V630" s="1" t="str">
        <f>IF(J630&lt;0.3,"Cold",
IF(J630&lt;0.6,"Pleasant","Hot"))</f>
        <v>Cold</v>
      </c>
      <c r="W630" s="1" t="str">
        <f>IF(L630&lt;0.4,"Low",
IF(L630&lt;0.7,"Medium","High"))</f>
        <v>High</v>
      </c>
      <c r="X630" s="1" t="str">
        <f>IF(M630&lt;0.2,"Low",
IF(M630&lt;0.4,"Medium","High"))</f>
        <v>Low</v>
      </c>
      <c r="Y630" s="1" t="str">
        <f>IF(P630&lt;100,"Low",
IF(P630&lt;300,"Medium","High"))</f>
        <v>Low</v>
      </c>
    </row>
    <row r="631" spans="1:25" x14ac:dyDescent="0.3">
      <c r="A631">
        <v>639</v>
      </c>
      <c r="B631" s="2">
        <v>40572</v>
      </c>
      <c r="C631">
        <v>1</v>
      </c>
      <c r="D631">
        <v>0</v>
      </c>
      <c r="E631">
        <v>1</v>
      </c>
      <c r="F631">
        <v>21</v>
      </c>
      <c r="G631" t="b">
        <v>0</v>
      </c>
      <c r="H631">
        <v>6</v>
      </c>
      <c r="I631">
        <v>1</v>
      </c>
      <c r="J631">
        <v>0.18</v>
      </c>
      <c r="K631">
        <v>0.21210000000000001</v>
      </c>
      <c r="L631">
        <v>0.74</v>
      </c>
      <c r="M631">
        <v>8.9599999999999999E-2</v>
      </c>
      <c r="N631">
        <v>1</v>
      </c>
      <c r="O631">
        <v>35</v>
      </c>
      <c r="P631">
        <v>36</v>
      </c>
      <c r="Q631" t="str">
        <f>VLOOKUP(MasterData[[#This Row],[season]],[1]Lookup!$A$2:$B$5,2,FALSE)</f>
        <v>Spring</v>
      </c>
      <c r="R631" t="str">
        <f>TEXT(DATE(2026,E631,1),"mmmm")</f>
        <v>January</v>
      </c>
      <c r="S631" t="str">
        <f>IF(OR(H631=0,H631=6),"Weekend","Weekday")</f>
        <v>Weekend</v>
      </c>
      <c r="T631" s="1" t="str">
        <f>VLOOKUP(I631,[1]Lookup!$D$2:$E$5,2,FALSE)</f>
        <v>Clear</v>
      </c>
      <c r="U631" s="1" t="str">
        <f>IF(F631&lt;6,"Night",
IF(F631&lt;12,"Morning",
IF(F631&lt;17,"Afternoon",
IF(F631&lt;21,"Evening","Night"))))</f>
        <v>Night</v>
      </c>
      <c r="V631" s="1" t="str">
        <f>IF(J631&lt;0.3,"Cold",
IF(J631&lt;0.6,"Pleasant","Hot"))</f>
        <v>Cold</v>
      </c>
      <c r="W631" s="1" t="str">
        <f>IF(L631&lt;0.4,"Low",
IF(L631&lt;0.7,"Medium","High"))</f>
        <v>High</v>
      </c>
      <c r="X631" s="1" t="str">
        <f>IF(M631&lt;0.2,"Low",
IF(M631&lt;0.4,"Medium","High"))</f>
        <v>Low</v>
      </c>
      <c r="Y631" s="1" t="str">
        <f>IF(P631&lt;100,"Low",
IF(P631&lt;300,"Medium","High"))</f>
        <v>Low</v>
      </c>
    </row>
    <row r="632" spans="1:25" x14ac:dyDescent="0.3">
      <c r="A632">
        <v>640</v>
      </c>
      <c r="B632" s="2">
        <v>40572</v>
      </c>
      <c r="C632">
        <v>1</v>
      </c>
      <c r="D632">
        <v>0</v>
      </c>
      <c r="E632">
        <v>1</v>
      </c>
      <c r="F632">
        <v>22</v>
      </c>
      <c r="G632" t="b">
        <v>0</v>
      </c>
      <c r="H632">
        <v>6</v>
      </c>
      <c r="I632">
        <v>1</v>
      </c>
      <c r="J632">
        <v>0.16</v>
      </c>
      <c r="K632">
        <v>0.19700000000000001</v>
      </c>
      <c r="L632">
        <v>0.8</v>
      </c>
      <c r="M632">
        <v>8.9599999999999999E-2</v>
      </c>
      <c r="N632">
        <v>4</v>
      </c>
      <c r="O632">
        <v>28</v>
      </c>
      <c r="P632">
        <v>32</v>
      </c>
      <c r="Q632" t="str">
        <f>VLOOKUP(MasterData[[#This Row],[season]],[1]Lookup!$A$2:$B$5,2,FALSE)</f>
        <v>Spring</v>
      </c>
      <c r="R632" t="str">
        <f>TEXT(DATE(2026,E632,1),"mmmm")</f>
        <v>January</v>
      </c>
      <c r="S632" t="str">
        <f>IF(OR(H632=0,H632=6),"Weekend","Weekday")</f>
        <v>Weekend</v>
      </c>
      <c r="T632" s="1" t="str">
        <f>VLOOKUP(I632,[1]Lookup!$D$2:$E$5,2,FALSE)</f>
        <v>Clear</v>
      </c>
      <c r="U632" s="1" t="str">
        <f>IF(F632&lt;6,"Night",
IF(F632&lt;12,"Morning",
IF(F632&lt;17,"Afternoon",
IF(F632&lt;21,"Evening","Night"))))</f>
        <v>Night</v>
      </c>
      <c r="V632" s="1" t="str">
        <f>IF(J632&lt;0.3,"Cold",
IF(J632&lt;0.6,"Pleasant","Hot"))</f>
        <v>Cold</v>
      </c>
      <c r="W632" s="1" t="str">
        <f>IF(L632&lt;0.4,"Low",
IF(L632&lt;0.7,"Medium","High"))</f>
        <v>High</v>
      </c>
      <c r="X632" s="1" t="str">
        <f>IF(M632&lt;0.2,"Low",
IF(M632&lt;0.4,"Medium","High"))</f>
        <v>Low</v>
      </c>
      <c r="Y632" s="1" t="str">
        <f>IF(P632&lt;100,"Low",
IF(P632&lt;300,"Medium","High"))</f>
        <v>Low</v>
      </c>
    </row>
    <row r="633" spans="1:25" x14ac:dyDescent="0.3">
      <c r="A633">
        <v>641</v>
      </c>
      <c r="B633" s="2">
        <v>40572</v>
      </c>
      <c r="C633">
        <v>1</v>
      </c>
      <c r="D633">
        <v>0</v>
      </c>
      <c r="E633">
        <v>1</v>
      </c>
      <c r="F633">
        <v>23</v>
      </c>
      <c r="G633" t="b">
        <v>0</v>
      </c>
      <c r="H633">
        <v>6</v>
      </c>
      <c r="I633">
        <v>1</v>
      </c>
      <c r="J633">
        <v>0.16</v>
      </c>
      <c r="K633">
        <v>0.19700000000000001</v>
      </c>
      <c r="L633">
        <v>0.8</v>
      </c>
      <c r="M633">
        <v>8.9599999999999999E-2</v>
      </c>
      <c r="N633">
        <v>3</v>
      </c>
      <c r="O633">
        <v>30</v>
      </c>
      <c r="P633">
        <v>33</v>
      </c>
      <c r="Q633" t="str">
        <f>VLOOKUP(MasterData[[#This Row],[season]],[1]Lookup!$A$2:$B$5,2,FALSE)</f>
        <v>Spring</v>
      </c>
      <c r="R633" t="str">
        <f>TEXT(DATE(2026,E633,1),"mmmm")</f>
        <v>January</v>
      </c>
      <c r="S633" t="str">
        <f>IF(OR(H633=0,H633=6),"Weekend","Weekday")</f>
        <v>Weekend</v>
      </c>
      <c r="T633" s="1" t="str">
        <f>VLOOKUP(I633,[1]Lookup!$D$2:$E$5,2,FALSE)</f>
        <v>Clear</v>
      </c>
      <c r="U633" s="1" t="str">
        <f>IF(F633&lt;6,"Night",
IF(F633&lt;12,"Morning",
IF(F633&lt;17,"Afternoon",
IF(F633&lt;21,"Evening","Night"))))</f>
        <v>Night</v>
      </c>
      <c r="V633" s="1" t="str">
        <f>IF(J633&lt;0.3,"Cold",
IF(J633&lt;0.6,"Pleasant","Hot"))</f>
        <v>Cold</v>
      </c>
      <c r="W633" s="1" t="str">
        <f>IF(L633&lt;0.4,"Low",
IF(L633&lt;0.7,"Medium","High"))</f>
        <v>High</v>
      </c>
      <c r="X633" s="1" t="str">
        <f>IF(M633&lt;0.2,"Low",
IF(M633&lt;0.4,"Medium","High"))</f>
        <v>Low</v>
      </c>
      <c r="Y633" s="1" t="str">
        <f>IF(P633&lt;100,"Low",
IF(P633&lt;300,"Medium","High"))</f>
        <v>Low</v>
      </c>
    </row>
    <row r="634" spans="1:25" x14ac:dyDescent="0.3">
      <c r="A634">
        <v>642</v>
      </c>
      <c r="B634" s="2">
        <v>40573</v>
      </c>
      <c r="C634">
        <v>1</v>
      </c>
      <c r="D634">
        <v>0</v>
      </c>
      <c r="E634">
        <v>1</v>
      </c>
      <c r="F634">
        <v>0</v>
      </c>
      <c r="G634" t="b">
        <v>0</v>
      </c>
      <c r="H634">
        <v>0</v>
      </c>
      <c r="I634">
        <v>1</v>
      </c>
      <c r="J634">
        <v>0.16</v>
      </c>
      <c r="K634">
        <v>0.18179999999999999</v>
      </c>
      <c r="L634">
        <v>0.8</v>
      </c>
      <c r="M634">
        <v>0.1045</v>
      </c>
      <c r="N634">
        <v>0</v>
      </c>
      <c r="O634">
        <v>33</v>
      </c>
      <c r="P634">
        <v>33</v>
      </c>
      <c r="Q634" t="str">
        <f>VLOOKUP(MasterData[[#This Row],[season]],[1]Lookup!$A$2:$B$5,2,FALSE)</f>
        <v>Spring</v>
      </c>
      <c r="R634" t="str">
        <f>TEXT(DATE(2026,E634,1),"mmmm")</f>
        <v>January</v>
      </c>
      <c r="S634" t="str">
        <f>IF(OR(H634=0,H634=6),"Weekend","Weekday")</f>
        <v>Weekend</v>
      </c>
      <c r="T634" s="1" t="str">
        <f>VLOOKUP(I634,[1]Lookup!$D$2:$E$5,2,FALSE)</f>
        <v>Clear</v>
      </c>
      <c r="U634" s="1" t="str">
        <f>IF(F634&lt;6,"Night",
IF(F634&lt;12,"Morning",
IF(F634&lt;17,"Afternoon",
IF(F634&lt;21,"Evening","Night"))))</f>
        <v>Night</v>
      </c>
      <c r="V634" s="1" t="str">
        <f>IF(J634&lt;0.3,"Cold",
IF(J634&lt;0.6,"Pleasant","Hot"))</f>
        <v>Cold</v>
      </c>
      <c r="W634" s="1" t="str">
        <f>IF(L634&lt;0.4,"Low",
IF(L634&lt;0.7,"Medium","High"))</f>
        <v>High</v>
      </c>
      <c r="X634" s="1" t="str">
        <f>IF(M634&lt;0.2,"Low",
IF(M634&lt;0.4,"Medium","High"))</f>
        <v>Low</v>
      </c>
      <c r="Y634" s="1" t="str">
        <f>IF(P634&lt;100,"Low",
IF(P634&lt;300,"Medium","High"))</f>
        <v>Low</v>
      </c>
    </row>
    <row r="635" spans="1:25" x14ac:dyDescent="0.3">
      <c r="A635">
        <v>643</v>
      </c>
      <c r="B635" s="2">
        <v>40573</v>
      </c>
      <c r="C635">
        <v>1</v>
      </c>
      <c r="D635">
        <v>0</v>
      </c>
      <c r="E635">
        <v>1</v>
      </c>
      <c r="F635">
        <v>1</v>
      </c>
      <c r="G635" t="b">
        <v>0</v>
      </c>
      <c r="H635">
        <v>0</v>
      </c>
      <c r="I635">
        <v>1</v>
      </c>
      <c r="J635">
        <v>0.14000000000000001</v>
      </c>
      <c r="K635">
        <v>0.21210000000000001</v>
      </c>
      <c r="L635">
        <v>0.8</v>
      </c>
      <c r="M635">
        <v>0</v>
      </c>
      <c r="N635">
        <v>7</v>
      </c>
      <c r="O635">
        <v>22</v>
      </c>
      <c r="P635">
        <v>29</v>
      </c>
      <c r="Q635" t="str">
        <f>VLOOKUP(MasterData[[#This Row],[season]],[1]Lookup!$A$2:$B$5,2,FALSE)</f>
        <v>Spring</v>
      </c>
      <c r="R635" t="str">
        <f>TEXT(DATE(2026,E635,1),"mmmm")</f>
        <v>January</v>
      </c>
      <c r="S635" t="str">
        <f>IF(OR(H635=0,H635=6),"Weekend","Weekday")</f>
        <v>Weekend</v>
      </c>
      <c r="T635" s="1" t="str">
        <f>VLOOKUP(I635,[1]Lookup!$D$2:$E$5,2,FALSE)</f>
        <v>Clear</v>
      </c>
      <c r="U635" s="1" t="str">
        <f>IF(F635&lt;6,"Night",
IF(F635&lt;12,"Morning",
IF(F635&lt;17,"Afternoon",
IF(F635&lt;21,"Evening","Night"))))</f>
        <v>Night</v>
      </c>
      <c r="V635" s="1" t="str">
        <f>IF(J635&lt;0.3,"Cold",
IF(J635&lt;0.6,"Pleasant","Hot"))</f>
        <v>Cold</v>
      </c>
      <c r="W635" s="1" t="str">
        <f>IF(L635&lt;0.4,"Low",
IF(L635&lt;0.7,"Medium","High"))</f>
        <v>High</v>
      </c>
      <c r="X635" s="1" t="str">
        <f>IF(M635&lt;0.2,"Low",
IF(M635&lt;0.4,"Medium","High"))</f>
        <v>Low</v>
      </c>
      <c r="Y635" s="1" t="str">
        <f>IF(P635&lt;100,"Low",
IF(P635&lt;300,"Medium","High"))</f>
        <v>Low</v>
      </c>
    </row>
    <row r="636" spans="1:25" x14ac:dyDescent="0.3">
      <c r="A636">
        <v>644</v>
      </c>
      <c r="B636" s="2">
        <v>40573</v>
      </c>
      <c r="C636">
        <v>1</v>
      </c>
      <c r="D636">
        <v>0</v>
      </c>
      <c r="E636">
        <v>1</v>
      </c>
      <c r="F636">
        <v>2</v>
      </c>
      <c r="G636" t="b">
        <v>0</v>
      </c>
      <c r="H636">
        <v>0</v>
      </c>
      <c r="I636">
        <v>1</v>
      </c>
      <c r="J636">
        <v>0.16</v>
      </c>
      <c r="K636">
        <v>0.2273</v>
      </c>
      <c r="L636">
        <v>0.8</v>
      </c>
      <c r="M636">
        <v>0</v>
      </c>
      <c r="N636">
        <v>1</v>
      </c>
      <c r="O636">
        <v>10</v>
      </c>
      <c r="P636">
        <v>11</v>
      </c>
      <c r="Q636" t="str">
        <f>VLOOKUP(MasterData[[#This Row],[season]],[1]Lookup!$A$2:$B$5,2,FALSE)</f>
        <v>Spring</v>
      </c>
      <c r="R636" t="str">
        <f>TEXT(DATE(2026,E636,1),"mmmm")</f>
        <v>January</v>
      </c>
      <c r="S636" t="str">
        <f>IF(OR(H636=0,H636=6),"Weekend","Weekday")</f>
        <v>Weekend</v>
      </c>
      <c r="T636" s="1" t="str">
        <f>VLOOKUP(I636,[1]Lookup!$D$2:$E$5,2,FALSE)</f>
        <v>Clear</v>
      </c>
      <c r="U636" s="1" t="str">
        <f>IF(F636&lt;6,"Night",
IF(F636&lt;12,"Morning",
IF(F636&lt;17,"Afternoon",
IF(F636&lt;21,"Evening","Night"))))</f>
        <v>Night</v>
      </c>
      <c r="V636" s="1" t="str">
        <f>IF(J636&lt;0.3,"Cold",
IF(J636&lt;0.6,"Pleasant","Hot"))</f>
        <v>Cold</v>
      </c>
      <c r="W636" s="1" t="str">
        <f>IF(L636&lt;0.4,"Low",
IF(L636&lt;0.7,"Medium","High"))</f>
        <v>High</v>
      </c>
      <c r="X636" s="1" t="str">
        <f>IF(M636&lt;0.2,"Low",
IF(M636&lt;0.4,"Medium","High"))</f>
        <v>Low</v>
      </c>
      <c r="Y636" s="1" t="str">
        <f>IF(P636&lt;100,"Low",
IF(P636&lt;300,"Medium","High"))</f>
        <v>Low</v>
      </c>
    </row>
    <row r="637" spans="1:25" x14ac:dyDescent="0.3">
      <c r="A637">
        <v>645</v>
      </c>
      <c r="B637" s="2">
        <v>40573</v>
      </c>
      <c r="C637">
        <v>1</v>
      </c>
      <c r="D637">
        <v>0</v>
      </c>
      <c r="E637">
        <v>1</v>
      </c>
      <c r="F637">
        <v>3</v>
      </c>
      <c r="G637" t="b">
        <v>0</v>
      </c>
      <c r="H637">
        <v>0</v>
      </c>
      <c r="I637">
        <v>1</v>
      </c>
      <c r="J637">
        <v>0.14000000000000001</v>
      </c>
      <c r="K637">
        <v>0.21210000000000001</v>
      </c>
      <c r="L637">
        <v>0.93</v>
      </c>
      <c r="M637">
        <v>0</v>
      </c>
      <c r="N637">
        <v>1</v>
      </c>
      <c r="O637">
        <v>7</v>
      </c>
      <c r="P637">
        <v>8</v>
      </c>
      <c r="Q637" t="str">
        <f>VLOOKUP(MasterData[[#This Row],[season]],[1]Lookup!$A$2:$B$5,2,FALSE)</f>
        <v>Spring</v>
      </c>
      <c r="R637" t="str">
        <f>TEXT(DATE(2026,E637,1),"mmmm")</f>
        <v>January</v>
      </c>
      <c r="S637" t="str">
        <f>IF(OR(H637=0,H637=6),"Weekend","Weekday")</f>
        <v>Weekend</v>
      </c>
      <c r="T637" s="1" t="str">
        <f>VLOOKUP(I637,[1]Lookup!$D$2:$E$5,2,FALSE)</f>
        <v>Clear</v>
      </c>
      <c r="U637" s="1" t="str">
        <f>IF(F637&lt;6,"Night",
IF(F637&lt;12,"Morning",
IF(F637&lt;17,"Afternoon",
IF(F637&lt;21,"Evening","Night"))))</f>
        <v>Night</v>
      </c>
      <c r="V637" s="1" t="str">
        <f>IF(J637&lt;0.3,"Cold",
IF(J637&lt;0.6,"Pleasant","Hot"))</f>
        <v>Cold</v>
      </c>
      <c r="W637" s="1" t="str">
        <f>IF(L637&lt;0.4,"Low",
IF(L637&lt;0.7,"Medium","High"))</f>
        <v>High</v>
      </c>
      <c r="X637" s="1" t="str">
        <f>IF(M637&lt;0.2,"Low",
IF(M637&lt;0.4,"Medium","High"))</f>
        <v>Low</v>
      </c>
      <c r="Y637" s="1" t="str">
        <f>IF(P637&lt;100,"Low",
IF(P637&lt;300,"Medium","High"))</f>
        <v>Low</v>
      </c>
    </row>
    <row r="638" spans="1:25" x14ac:dyDescent="0.3">
      <c r="A638">
        <v>646</v>
      </c>
      <c r="B638" s="2">
        <v>40573</v>
      </c>
      <c r="C638">
        <v>1</v>
      </c>
      <c r="D638">
        <v>0</v>
      </c>
      <c r="E638">
        <v>1</v>
      </c>
      <c r="F638">
        <v>4</v>
      </c>
      <c r="G638" t="b">
        <v>0</v>
      </c>
      <c r="H638">
        <v>0</v>
      </c>
      <c r="I638">
        <v>1</v>
      </c>
      <c r="J638">
        <v>0.14000000000000001</v>
      </c>
      <c r="K638">
        <v>0.21210000000000001</v>
      </c>
      <c r="L638">
        <v>0.93</v>
      </c>
      <c r="M638">
        <v>0</v>
      </c>
      <c r="N638">
        <v>0</v>
      </c>
      <c r="O638">
        <v>1</v>
      </c>
      <c r="P638">
        <v>1</v>
      </c>
      <c r="Q638" t="str">
        <f>VLOOKUP(MasterData[[#This Row],[season]],[1]Lookup!$A$2:$B$5,2,FALSE)</f>
        <v>Spring</v>
      </c>
      <c r="R638" t="str">
        <f>TEXT(DATE(2026,E638,1),"mmmm")</f>
        <v>January</v>
      </c>
      <c r="S638" t="str">
        <f>IF(OR(H638=0,H638=6),"Weekend","Weekday")</f>
        <v>Weekend</v>
      </c>
      <c r="T638" s="1" t="str">
        <f>VLOOKUP(I638,[1]Lookup!$D$2:$E$5,2,FALSE)</f>
        <v>Clear</v>
      </c>
      <c r="U638" s="1" t="str">
        <f>IF(F638&lt;6,"Night",
IF(F638&lt;12,"Morning",
IF(F638&lt;17,"Afternoon",
IF(F638&lt;21,"Evening","Night"))))</f>
        <v>Night</v>
      </c>
      <c r="V638" s="1" t="str">
        <f>IF(J638&lt;0.3,"Cold",
IF(J638&lt;0.6,"Pleasant","Hot"))</f>
        <v>Cold</v>
      </c>
      <c r="W638" s="1" t="str">
        <f>IF(L638&lt;0.4,"Low",
IF(L638&lt;0.7,"Medium","High"))</f>
        <v>High</v>
      </c>
      <c r="X638" s="1" t="str">
        <f>IF(M638&lt;0.2,"Low",
IF(M638&lt;0.4,"Medium","High"))</f>
        <v>Low</v>
      </c>
      <c r="Y638" s="1" t="str">
        <f>IF(P638&lt;100,"Low",
IF(P638&lt;300,"Medium","High"))</f>
        <v>Low</v>
      </c>
    </row>
    <row r="639" spans="1:25" x14ac:dyDescent="0.3">
      <c r="A639">
        <v>647</v>
      </c>
      <c r="B639" s="2">
        <v>40573</v>
      </c>
      <c r="C639">
        <v>1</v>
      </c>
      <c r="D639">
        <v>0</v>
      </c>
      <c r="E639">
        <v>1</v>
      </c>
      <c r="F639">
        <v>5</v>
      </c>
      <c r="G639" t="b">
        <v>0</v>
      </c>
      <c r="H639">
        <v>0</v>
      </c>
      <c r="I639">
        <v>1</v>
      </c>
      <c r="J639">
        <v>0.14000000000000001</v>
      </c>
      <c r="K639">
        <v>0.21210000000000001</v>
      </c>
      <c r="L639">
        <v>0.86</v>
      </c>
      <c r="M639">
        <v>0</v>
      </c>
      <c r="N639">
        <v>0</v>
      </c>
      <c r="O639">
        <v>3</v>
      </c>
      <c r="P639">
        <v>3</v>
      </c>
      <c r="Q639" t="str">
        <f>VLOOKUP(MasterData[[#This Row],[season]],[1]Lookup!$A$2:$B$5,2,FALSE)</f>
        <v>Spring</v>
      </c>
      <c r="R639" t="str">
        <f>TEXT(DATE(2026,E639,1),"mmmm")</f>
        <v>January</v>
      </c>
      <c r="S639" t="str">
        <f>IF(OR(H639=0,H639=6),"Weekend","Weekday")</f>
        <v>Weekend</v>
      </c>
      <c r="T639" s="1" t="str">
        <f>VLOOKUP(I639,[1]Lookup!$D$2:$E$5,2,FALSE)</f>
        <v>Clear</v>
      </c>
      <c r="U639" s="1" t="str">
        <f>IF(F639&lt;6,"Night",
IF(F639&lt;12,"Morning",
IF(F639&lt;17,"Afternoon",
IF(F639&lt;21,"Evening","Night"))))</f>
        <v>Night</v>
      </c>
      <c r="V639" s="1" t="str">
        <f>IF(J639&lt;0.3,"Cold",
IF(J639&lt;0.6,"Pleasant","Hot"))</f>
        <v>Cold</v>
      </c>
      <c r="W639" s="1" t="str">
        <f>IF(L639&lt;0.4,"Low",
IF(L639&lt;0.7,"Medium","High"))</f>
        <v>High</v>
      </c>
      <c r="X639" s="1" t="str">
        <f>IF(M639&lt;0.2,"Low",
IF(M639&lt;0.4,"Medium","High"))</f>
        <v>Low</v>
      </c>
      <c r="Y639" s="1" t="str">
        <f>IF(P639&lt;100,"Low",
IF(P639&lt;300,"Medium","High"))</f>
        <v>Low</v>
      </c>
    </row>
    <row r="640" spans="1:25" x14ac:dyDescent="0.3">
      <c r="A640">
        <v>648</v>
      </c>
      <c r="B640" s="2">
        <v>40573</v>
      </c>
      <c r="C640">
        <v>1</v>
      </c>
      <c r="D640">
        <v>0</v>
      </c>
      <c r="E640">
        <v>1</v>
      </c>
      <c r="F640">
        <v>7</v>
      </c>
      <c r="G640" t="b">
        <v>0</v>
      </c>
      <c r="H640">
        <v>0</v>
      </c>
      <c r="I640">
        <v>1</v>
      </c>
      <c r="J640">
        <v>0.14000000000000001</v>
      </c>
      <c r="K640">
        <v>0.21210000000000001</v>
      </c>
      <c r="L640">
        <v>0.86</v>
      </c>
      <c r="M640">
        <v>0</v>
      </c>
      <c r="N640">
        <v>0</v>
      </c>
      <c r="O640">
        <v>3</v>
      </c>
      <c r="P640">
        <v>3</v>
      </c>
      <c r="Q640" t="str">
        <f>VLOOKUP(MasterData[[#This Row],[season]],[1]Lookup!$A$2:$B$5,2,FALSE)</f>
        <v>Spring</v>
      </c>
      <c r="R640" t="str">
        <f>TEXT(DATE(2026,E640,1),"mmmm")</f>
        <v>January</v>
      </c>
      <c r="S640" t="str">
        <f>IF(OR(H640=0,H640=6),"Weekend","Weekday")</f>
        <v>Weekend</v>
      </c>
      <c r="T640" s="1" t="str">
        <f>VLOOKUP(I640,[1]Lookup!$D$2:$E$5,2,FALSE)</f>
        <v>Clear</v>
      </c>
      <c r="U640" s="1" t="str">
        <f>IF(F640&lt;6,"Night",
IF(F640&lt;12,"Morning",
IF(F640&lt;17,"Afternoon",
IF(F640&lt;21,"Evening","Night"))))</f>
        <v>Morning</v>
      </c>
      <c r="V640" s="1" t="str">
        <f>IF(J640&lt;0.3,"Cold",
IF(J640&lt;0.6,"Pleasant","Hot"))</f>
        <v>Cold</v>
      </c>
      <c r="W640" s="1" t="str">
        <f>IF(L640&lt;0.4,"Low",
IF(L640&lt;0.7,"Medium","High"))</f>
        <v>High</v>
      </c>
      <c r="X640" s="1" t="str">
        <f>IF(M640&lt;0.2,"Low",
IF(M640&lt;0.4,"Medium","High"))</f>
        <v>Low</v>
      </c>
      <c r="Y640" s="1" t="str">
        <f>IF(P640&lt;100,"Low",
IF(P640&lt;300,"Medium","High"))</f>
        <v>Low</v>
      </c>
    </row>
    <row r="641" spans="1:25" x14ac:dyDescent="0.3">
      <c r="A641">
        <v>649</v>
      </c>
      <c r="B641" s="2">
        <v>40573</v>
      </c>
      <c r="C641">
        <v>1</v>
      </c>
      <c r="D641">
        <v>0</v>
      </c>
      <c r="E641">
        <v>1</v>
      </c>
      <c r="F641">
        <v>8</v>
      </c>
      <c r="G641" t="b">
        <v>0</v>
      </c>
      <c r="H641">
        <v>0</v>
      </c>
      <c r="I641">
        <v>2</v>
      </c>
      <c r="J641">
        <v>0.14000000000000001</v>
      </c>
      <c r="K641">
        <v>0.21210000000000001</v>
      </c>
      <c r="L641">
        <v>0.86</v>
      </c>
      <c r="M641">
        <v>0</v>
      </c>
      <c r="N641">
        <v>1</v>
      </c>
      <c r="O641">
        <v>11</v>
      </c>
      <c r="P641">
        <v>12</v>
      </c>
      <c r="Q641" t="str">
        <f>VLOOKUP(MasterData[[#This Row],[season]],[1]Lookup!$A$2:$B$5,2,FALSE)</f>
        <v>Spring</v>
      </c>
      <c r="R641" t="str">
        <f>TEXT(DATE(2026,E641,1),"mmmm")</f>
        <v>January</v>
      </c>
      <c r="S641" t="str">
        <f>IF(OR(H641=0,H641=6),"Weekend","Weekday")</f>
        <v>Weekend</v>
      </c>
      <c r="T641" s="1" t="str">
        <f>VLOOKUP(I641,[1]Lookup!$D$2:$E$5,2,FALSE)</f>
        <v>Mist / Cloudy</v>
      </c>
      <c r="U641" s="1" t="str">
        <f>IF(F641&lt;6,"Night",
IF(F641&lt;12,"Morning",
IF(F641&lt;17,"Afternoon",
IF(F641&lt;21,"Evening","Night"))))</f>
        <v>Morning</v>
      </c>
      <c r="V641" s="1" t="str">
        <f>IF(J641&lt;0.3,"Cold",
IF(J641&lt;0.6,"Pleasant","Hot"))</f>
        <v>Cold</v>
      </c>
      <c r="W641" s="1" t="str">
        <f>IF(L641&lt;0.4,"Low",
IF(L641&lt;0.7,"Medium","High"))</f>
        <v>High</v>
      </c>
      <c r="X641" s="1" t="str">
        <f>IF(M641&lt;0.2,"Low",
IF(M641&lt;0.4,"Medium","High"))</f>
        <v>Low</v>
      </c>
      <c r="Y641" s="1" t="str">
        <f>IF(P641&lt;100,"Low",
IF(P641&lt;300,"Medium","High"))</f>
        <v>Low</v>
      </c>
    </row>
    <row r="642" spans="1:25" x14ac:dyDescent="0.3">
      <c r="A642">
        <v>650</v>
      </c>
      <c r="B642" s="2">
        <v>40573</v>
      </c>
      <c r="C642">
        <v>1</v>
      </c>
      <c r="D642">
        <v>0</v>
      </c>
      <c r="E642">
        <v>1</v>
      </c>
      <c r="F642">
        <v>9</v>
      </c>
      <c r="G642" t="b">
        <v>0</v>
      </c>
      <c r="H642">
        <v>0</v>
      </c>
      <c r="I642">
        <v>2</v>
      </c>
      <c r="J642">
        <v>0.16</v>
      </c>
      <c r="K642">
        <v>0.2273</v>
      </c>
      <c r="L642">
        <v>0.8</v>
      </c>
      <c r="M642">
        <v>0</v>
      </c>
      <c r="N642">
        <v>4</v>
      </c>
      <c r="O642">
        <v>34</v>
      </c>
      <c r="P642">
        <v>38</v>
      </c>
      <c r="Q642" t="str">
        <f>VLOOKUP(MasterData[[#This Row],[season]],[1]Lookup!$A$2:$B$5,2,FALSE)</f>
        <v>Spring</v>
      </c>
      <c r="R642" t="str">
        <f>TEXT(DATE(2026,E642,1),"mmmm")</f>
        <v>January</v>
      </c>
      <c r="S642" t="str">
        <f>IF(OR(H642=0,H642=6),"Weekend","Weekday")</f>
        <v>Weekend</v>
      </c>
      <c r="T642" s="1" t="str">
        <f>VLOOKUP(I642,[1]Lookup!$D$2:$E$5,2,FALSE)</f>
        <v>Mist / Cloudy</v>
      </c>
      <c r="U642" s="1" t="str">
        <f>IF(F642&lt;6,"Night",
IF(F642&lt;12,"Morning",
IF(F642&lt;17,"Afternoon",
IF(F642&lt;21,"Evening","Night"))))</f>
        <v>Morning</v>
      </c>
      <c r="V642" s="1" t="str">
        <f>IF(J642&lt;0.3,"Cold",
IF(J642&lt;0.6,"Pleasant","Hot"))</f>
        <v>Cold</v>
      </c>
      <c r="W642" s="1" t="str">
        <f>IF(L642&lt;0.4,"Low",
IF(L642&lt;0.7,"Medium","High"))</f>
        <v>High</v>
      </c>
      <c r="X642" s="1" t="str">
        <f>IF(M642&lt;0.2,"Low",
IF(M642&lt;0.4,"Medium","High"))</f>
        <v>Low</v>
      </c>
      <c r="Y642" s="1" t="str">
        <f>IF(P642&lt;100,"Low",
IF(P642&lt;300,"Medium","High"))</f>
        <v>Low</v>
      </c>
    </row>
    <row r="643" spans="1:25" x14ac:dyDescent="0.3">
      <c r="A643">
        <v>651</v>
      </c>
      <c r="B643" s="2">
        <v>40573</v>
      </c>
      <c r="C643">
        <v>1</v>
      </c>
      <c r="D643">
        <v>0</v>
      </c>
      <c r="E643">
        <v>1</v>
      </c>
      <c r="F643">
        <v>10</v>
      </c>
      <c r="G643" t="b">
        <v>0</v>
      </c>
      <c r="H643">
        <v>0</v>
      </c>
      <c r="I643">
        <v>2</v>
      </c>
      <c r="J643">
        <v>0.18</v>
      </c>
      <c r="K643">
        <v>0.2424</v>
      </c>
      <c r="L643">
        <v>0.8</v>
      </c>
      <c r="M643">
        <v>0</v>
      </c>
      <c r="N643">
        <v>7</v>
      </c>
      <c r="O643">
        <v>57</v>
      </c>
      <c r="P643">
        <v>64</v>
      </c>
      <c r="Q643" t="str">
        <f>VLOOKUP(MasterData[[#This Row],[season]],[1]Lookup!$A$2:$B$5,2,FALSE)</f>
        <v>Spring</v>
      </c>
      <c r="R643" t="str">
        <f>TEXT(DATE(2026,E643,1),"mmmm")</f>
        <v>January</v>
      </c>
      <c r="S643" t="str">
        <f>IF(OR(H643=0,H643=6),"Weekend","Weekday")</f>
        <v>Weekend</v>
      </c>
      <c r="T643" s="1" t="str">
        <f>VLOOKUP(I643,[1]Lookup!$D$2:$E$5,2,FALSE)</f>
        <v>Mist / Cloudy</v>
      </c>
      <c r="U643" s="1" t="str">
        <f>IF(F643&lt;6,"Night",
IF(F643&lt;12,"Morning",
IF(F643&lt;17,"Afternoon",
IF(F643&lt;21,"Evening","Night"))))</f>
        <v>Morning</v>
      </c>
      <c r="V643" s="1" t="str">
        <f>IF(J643&lt;0.3,"Cold",
IF(J643&lt;0.6,"Pleasant","Hot"))</f>
        <v>Cold</v>
      </c>
      <c r="W643" s="1" t="str">
        <f>IF(L643&lt;0.4,"Low",
IF(L643&lt;0.7,"Medium","High"))</f>
        <v>High</v>
      </c>
      <c r="X643" s="1" t="str">
        <f>IF(M643&lt;0.2,"Low",
IF(M643&lt;0.4,"Medium","High"))</f>
        <v>Low</v>
      </c>
      <c r="Y643" s="1" t="str">
        <f>IF(P643&lt;100,"Low",
IF(P643&lt;300,"Medium","High"))</f>
        <v>Low</v>
      </c>
    </row>
    <row r="644" spans="1:25" x14ac:dyDescent="0.3">
      <c r="A644">
        <v>652</v>
      </c>
      <c r="B644" s="2">
        <v>40573</v>
      </c>
      <c r="C644">
        <v>1</v>
      </c>
      <c r="D644">
        <v>0</v>
      </c>
      <c r="E644">
        <v>1</v>
      </c>
      <c r="F644">
        <v>11</v>
      </c>
      <c r="G644" t="b">
        <v>0</v>
      </c>
      <c r="H644">
        <v>0</v>
      </c>
      <c r="I644">
        <v>1</v>
      </c>
      <c r="J644">
        <v>0.22</v>
      </c>
      <c r="K644">
        <v>0.2727</v>
      </c>
      <c r="L644">
        <v>0.75</v>
      </c>
      <c r="M644">
        <v>0</v>
      </c>
      <c r="N644">
        <v>9</v>
      </c>
      <c r="O644">
        <v>50</v>
      </c>
      <c r="P644">
        <v>59</v>
      </c>
      <c r="Q644" t="str">
        <f>VLOOKUP(MasterData[[#This Row],[season]],[1]Lookup!$A$2:$B$5,2,FALSE)</f>
        <v>Spring</v>
      </c>
      <c r="R644" t="str">
        <f>TEXT(DATE(2026,E644,1),"mmmm")</f>
        <v>January</v>
      </c>
      <c r="S644" t="str">
        <f>IF(OR(H644=0,H644=6),"Weekend","Weekday")</f>
        <v>Weekend</v>
      </c>
      <c r="T644" s="1" t="str">
        <f>VLOOKUP(I644,[1]Lookup!$D$2:$E$5,2,FALSE)</f>
        <v>Clear</v>
      </c>
      <c r="U644" s="1" t="str">
        <f>IF(F644&lt;6,"Night",
IF(F644&lt;12,"Morning",
IF(F644&lt;17,"Afternoon",
IF(F644&lt;21,"Evening","Night"))))</f>
        <v>Morning</v>
      </c>
      <c r="V644" s="1" t="str">
        <f>IF(J644&lt;0.3,"Cold",
IF(J644&lt;0.6,"Pleasant","Hot"))</f>
        <v>Cold</v>
      </c>
      <c r="W644" s="1" t="str">
        <f>IF(L644&lt;0.4,"Low",
IF(L644&lt;0.7,"Medium","High"))</f>
        <v>High</v>
      </c>
      <c r="X644" s="1" t="str">
        <f>IF(M644&lt;0.2,"Low",
IF(M644&lt;0.4,"Medium","High"))</f>
        <v>Low</v>
      </c>
      <c r="Y644" s="1" t="str">
        <f>IF(P644&lt;100,"Low",
IF(P644&lt;300,"Medium","High"))</f>
        <v>Low</v>
      </c>
    </row>
    <row r="645" spans="1:25" x14ac:dyDescent="0.3">
      <c r="A645">
        <v>653</v>
      </c>
      <c r="B645" s="2">
        <v>40573</v>
      </c>
      <c r="C645">
        <v>1</v>
      </c>
      <c r="D645">
        <v>0</v>
      </c>
      <c r="E645">
        <v>1</v>
      </c>
      <c r="F645">
        <v>12</v>
      </c>
      <c r="G645" t="b">
        <v>0</v>
      </c>
      <c r="H645">
        <v>0</v>
      </c>
      <c r="I645">
        <v>1</v>
      </c>
      <c r="J645">
        <v>0.3</v>
      </c>
      <c r="K645">
        <v>0.31819999999999998</v>
      </c>
      <c r="L645">
        <v>0.52</v>
      </c>
      <c r="M645">
        <v>0.1045</v>
      </c>
      <c r="N645">
        <v>10</v>
      </c>
      <c r="O645">
        <v>87</v>
      </c>
      <c r="P645">
        <v>97</v>
      </c>
      <c r="Q645" t="str">
        <f>VLOOKUP(MasterData[[#This Row],[season]],[1]Lookup!$A$2:$B$5,2,FALSE)</f>
        <v>Spring</v>
      </c>
      <c r="R645" t="str">
        <f>TEXT(DATE(2026,E645,1),"mmmm")</f>
        <v>January</v>
      </c>
      <c r="S645" t="str">
        <f>IF(OR(H645=0,H645=6),"Weekend","Weekday")</f>
        <v>Weekend</v>
      </c>
      <c r="T645" s="1" t="str">
        <f>VLOOKUP(I645,[1]Lookup!$D$2:$E$5,2,FALSE)</f>
        <v>Clear</v>
      </c>
      <c r="U645" s="1" t="str">
        <f>IF(F645&lt;6,"Night",
IF(F645&lt;12,"Morning",
IF(F645&lt;17,"Afternoon",
IF(F645&lt;21,"Evening","Night"))))</f>
        <v>Afternoon</v>
      </c>
      <c r="V645" s="1" t="str">
        <f>IF(J645&lt;0.3,"Cold",
IF(J645&lt;0.6,"Pleasant","Hot"))</f>
        <v>Pleasant</v>
      </c>
      <c r="W645" s="1" t="str">
        <f>IF(L645&lt;0.4,"Low",
IF(L645&lt;0.7,"Medium","High"))</f>
        <v>Medium</v>
      </c>
      <c r="X645" s="1" t="str">
        <f>IF(M645&lt;0.2,"Low",
IF(M645&lt;0.4,"Medium","High"))</f>
        <v>Low</v>
      </c>
      <c r="Y645" s="1" t="str">
        <f>IF(P645&lt;100,"Low",
IF(P645&lt;300,"Medium","High"))</f>
        <v>Low</v>
      </c>
    </row>
    <row r="646" spans="1:25" x14ac:dyDescent="0.3">
      <c r="A646">
        <v>654</v>
      </c>
      <c r="B646" s="2">
        <v>40573</v>
      </c>
      <c r="C646">
        <v>1</v>
      </c>
      <c r="D646">
        <v>0</v>
      </c>
      <c r="E646">
        <v>1</v>
      </c>
      <c r="F646">
        <v>13</v>
      </c>
      <c r="G646" t="b">
        <v>0</v>
      </c>
      <c r="H646">
        <v>0</v>
      </c>
      <c r="I646">
        <v>1</v>
      </c>
      <c r="J646">
        <v>0.28000000000000003</v>
      </c>
      <c r="K646">
        <v>0.28789999999999999</v>
      </c>
      <c r="L646">
        <v>0.61</v>
      </c>
      <c r="M646">
        <v>0.1045</v>
      </c>
      <c r="N646">
        <v>13</v>
      </c>
      <c r="O646">
        <v>71</v>
      </c>
      <c r="P646">
        <v>84</v>
      </c>
      <c r="Q646" t="str">
        <f>VLOOKUP(MasterData[[#This Row],[season]],[1]Lookup!$A$2:$B$5,2,FALSE)</f>
        <v>Spring</v>
      </c>
      <c r="R646" t="str">
        <f>TEXT(DATE(2026,E646,1),"mmmm")</f>
        <v>January</v>
      </c>
      <c r="S646" t="str">
        <f>IF(OR(H646=0,H646=6),"Weekend","Weekday")</f>
        <v>Weekend</v>
      </c>
      <c r="T646" s="1" t="str">
        <f>VLOOKUP(I646,[1]Lookup!$D$2:$E$5,2,FALSE)</f>
        <v>Clear</v>
      </c>
      <c r="U646" s="1" t="str">
        <f>IF(F646&lt;6,"Night",
IF(F646&lt;12,"Morning",
IF(F646&lt;17,"Afternoon",
IF(F646&lt;21,"Evening","Night"))))</f>
        <v>Afternoon</v>
      </c>
      <c r="V646" s="1" t="str">
        <f>IF(J646&lt;0.3,"Cold",
IF(J646&lt;0.6,"Pleasant","Hot"))</f>
        <v>Cold</v>
      </c>
      <c r="W646" s="1" t="str">
        <f>IF(L646&lt;0.4,"Low",
IF(L646&lt;0.7,"Medium","High"))</f>
        <v>Medium</v>
      </c>
      <c r="X646" s="1" t="str">
        <f>IF(M646&lt;0.2,"Low",
IF(M646&lt;0.4,"Medium","High"))</f>
        <v>Low</v>
      </c>
      <c r="Y646" s="1" t="str">
        <f>IF(P646&lt;100,"Low",
IF(P646&lt;300,"Medium","High"))</f>
        <v>Low</v>
      </c>
    </row>
    <row r="647" spans="1:25" x14ac:dyDescent="0.3">
      <c r="A647">
        <v>655</v>
      </c>
      <c r="B647" s="2">
        <v>40573</v>
      </c>
      <c r="C647">
        <v>1</v>
      </c>
      <c r="D647">
        <v>0</v>
      </c>
      <c r="E647">
        <v>1</v>
      </c>
      <c r="F647">
        <v>14</v>
      </c>
      <c r="G647" t="b">
        <v>0</v>
      </c>
      <c r="H647">
        <v>0</v>
      </c>
      <c r="I647">
        <v>1</v>
      </c>
      <c r="J647">
        <v>0.28000000000000003</v>
      </c>
      <c r="K647">
        <v>0.30299999999999999</v>
      </c>
      <c r="L647">
        <v>0.61</v>
      </c>
      <c r="M647">
        <v>8.9599999999999999E-2</v>
      </c>
      <c r="N647">
        <v>18</v>
      </c>
      <c r="O647">
        <v>104</v>
      </c>
      <c r="P647">
        <v>122</v>
      </c>
      <c r="Q647" t="str">
        <f>VLOOKUP(MasterData[[#This Row],[season]],[1]Lookup!$A$2:$B$5,2,FALSE)</f>
        <v>Spring</v>
      </c>
      <c r="R647" t="str">
        <f>TEXT(DATE(2026,E647,1),"mmmm")</f>
        <v>January</v>
      </c>
      <c r="S647" t="str">
        <f>IF(OR(H647=0,H647=6),"Weekend","Weekday")</f>
        <v>Weekend</v>
      </c>
      <c r="T647" s="1" t="str">
        <f>VLOOKUP(I647,[1]Lookup!$D$2:$E$5,2,FALSE)</f>
        <v>Clear</v>
      </c>
      <c r="U647" s="1" t="str">
        <f>IF(F647&lt;6,"Night",
IF(F647&lt;12,"Morning",
IF(F647&lt;17,"Afternoon",
IF(F647&lt;21,"Evening","Night"))))</f>
        <v>Afternoon</v>
      </c>
      <c r="V647" s="1" t="str">
        <f>IF(J647&lt;0.3,"Cold",
IF(J647&lt;0.6,"Pleasant","Hot"))</f>
        <v>Cold</v>
      </c>
      <c r="W647" s="1" t="str">
        <f>IF(L647&lt;0.4,"Low",
IF(L647&lt;0.7,"Medium","High"))</f>
        <v>Medium</v>
      </c>
      <c r="X647" s="1" t="str">
        <f>IF(M647&lt;0.2,"Low",
IF(M647&lt;0.4,"Medium","High"))</f>
        <v>Low</v>
      </c>
      <c r="Y647" s="1" t="str">
        <f>IF(P647&lt;100,"Low",
IF(P647&lt;300,"Medium","High"))</f>
        <v>Medium</v>
      </c>
    </row>
    <row r="648" spans="1:25" x14ac:dyDescent="0.3">
      <c r="A648">
        <v>656</v>
      </c>
      <c r="B648" s="2">
        <v>40573</v>
      </c>
      <c r="C648">
        <v>1</v>
      </c>
      <c r="D648">
        <v>0</v>
      </c>
      <c r="E648">
        <v>1</v>
      </c>
      <c r="F648">
        <v>15</v>
      </c>
      <c r="G648" t="b">
        <v>0</v>
      </c>
      <c r="H648">
        <v>0</v>
      </c>
      <c r="I648">
        <v>1</v>
      </c>
      <c r="J648">
        <v>0.3</v>
      </c>
      <c r="K648">
        <v>0.33329999999999999</v>
      </c>
      <c r="L648">
        <v>0.56000000000000005</v>
      </c>
      <c r="M648">
        <v>0</v>
      </c>
      <c r="N648">
        <v>14</v>
      </c>
      <c r="O648">
        <v>95</v>
      </c>
      <c r="P648">
        <v>109</v>
      </c>
      <c r="Q648" t="str">
        <f>VLOOKUP(MasterData[[#This Row],[season]],[1]Lookup!$A$2:$B$5,2,FALSE)</f>
        <v>Spring</v>
      </c>
      <c r="R648" t="str">
        <f>TEXT(DATE(2026,E648,1),"mmmm")</f>
        <v>January</v>
      </c>
      <c r="S648" t="str">
        <f>IF(OR(H648=0,H648=6),"Weekend","Weekday")</f>
        <v>Weekend</v>
      </c>
      <c r="T648" s="1" t="str">
        <f>VLOOKUP(I648,[1]Lookup!$D$2:$E$5,2,FALSE)</f>
        <v>Clear</v>
      </c>
      <c r="U648" s="1" t="str">
        <f>IF(F648&lt;6,"Night",
IF(F648&lt;12,"Morning",
IF(F648&lt;17,"Afternoon",
IF(F648&lt;21,"Evening","Night"))))</f>
        <v>Afternoon</v>
      </c>
      <c r="V648" s="1" t="str">
        <f>IF(J648&lt;0.3,"Cold",
IF(J648&lt;0.6,"Pleasant","Hot"))</f>
        <v>Pleasant</v>
      </c>
      <c r="W648" s="1" t="str">
        <f>IF(L648&lt;0.4,"Low",
IF(L648&lt;0.7,"Medium","High"))</f>
        <v>Medium</v>
      </c>
      <c r="X648" s="1" t="str">
        <f>IF(M648&lt;0.2,"Low",
IF(M648&lt;0.4,"Medium","High"))</f>
        <v>Low</v>
      </c>
      <c r="Y648" s="1" t="str">
        <f>IF(P648&lt;100,"Low",
IF(P648&lt;300,"Medium","High"))</f>
        <v>Medium</v>
      </c>
    </row>
    <row r="649" spans="1:25" x14ac:dyDescent="0.3">
      <c r="A649">
        <v>657</v>
      </c>
      <c r="B649" s="2">
        <v>40573</v>
      </c>
      <c r="C649">
        <v>1</v>
      </c>
      <c r="D649">
        <v>0</v>
      </c>
      <c r="E649">
        <v>1</v>
      </c>
      <c r="F649">
        <v>16</v>
      </c>
      <c r="G649" t="b">
        <v>0</v>
      </c>
      <c r="H649">
        <v>0</v>
      </c>
      <c r="I649">
        <v>1</v>
      </c>
      <c r="J649">
        <v>0.3</v>
      </c>
      <c r="K649">
        <v>0.33329999999999999</v>
      </c>
      <c r="L649">
        <v>0.56000000000000005</v>
      </c>
      <c r="M649">
        <v>0</v>
      </c>
      <c r="N649">
        <v>19</v>
      </c>
      <c r="O649">
        <v>104</v>
      </c>
      <c r="P649">
        <v>123</v>
      </c>
      <c r="Q649" t="str">
        <f>VLOOKUP(MasterData[[#This Row],[season]],[1]Lookup!$A$2:$B$5,2,FALSE)</f>
        <v>Spring</v>
      </c>
      <c r="R649" t="str">
        <f>TEXT(DATE(2026,E649,1),"mmmm")</f>
        <v>January</v>
      </c>
      <c r="S649" t="str">
        <f>IF(OR(H649=0,H649=6),"Weekend","Weekday")</f>
        <v>Weekend</v>
      </c>
      <c r="T649" s="1" t="str">
        <f>VLOOKUP(I649,[1]Lookup!$D$2:$E$5,2,FALSE)</f>
        <v>Clear</v>
      </c>
      <c r="U649" s="1" t="str">
        <f>IF(F649&lt;6,"Night",
IF(F649&lt;12,"Morning",
IF(F649&lt;17,"Afternoon",
IF(F649&lt;21,"Evening","Night"))))</f>
        <v>Afternoon</v>
      </c>
      <c r="V649" s="1" t="str">
        <f>IF(J649&lt;0.3,"Cold",
IF(J649&lt;0.6,"Pleasant","Hot"))</f>
        <v>Pleasant</v>
      </c>
      <c r="W649" s="1" t="str">
        <f>IF(L649&lt;0.4,"Low",
IF(L649&lt;0.7,"Medium","High"))</f>
        <v>Medium</v>
      </c>
      <c r="X649" s="1" t="str">
        <f>IF(M649&lt;0.2,"Low",
IF(M649&lt;0.4,"Medium","High"))</f>
        <v>Low</v>
      </c>
      <c r="Y649" s="1" t="str">
        <f>IF(P649&lt;100,"Low",
IF(P649&lt;300,"Medium","High"))</f>
        <v>Medium</v>
      </c>
    </row>
    <row r="650" spans="1:25" x14ac:dyDescent="0.3">
      <c r="A650">
        <v>658</v>
      </c>
      <c r="B650" s="2">
        <v>40573</v>
      </c>
      <c r="C650">
        <v>1</v>
      </c>
      <c r="D650">
        <v>0</v>
      </c>
      <c r="E650">
        <v>1</v>
      </c>
      <c r="F650">
        <v>17</v>
      </c>
      <c r="G650" t="b">
        <v>0</v>
      </c>
      <c r="H650">
        <v>0</v>
      </c>
      <c r="I650">
        <v>1</v>
      </c>
      <c r="J650">
        <v>0.3</v>
      </c>
      <c r="K650">
        <v>0.28789999999999999</v>
      </c>
      <c r="L650">
        <v>0.56000000000000005</v>
      </c>
      <c r="M650">
        <v>0.19400000000000001</v>
      </c>
      <c r="N650">
        <v>6</v>
      </c>
      <c r="O650">
        <v>71</v>
      </c>
      <c r="P650">
        <v>77</v>
      </c>
      <c r="Q650" t="str">
        <f>VLOOKUP(MasterData[[#This Row],[season]],[1]Lookup!$A$2:$B$5,2,FALSE)</f>
        <v>Spring</v>
      </c>
      <c r="R650" t="str">
        <f>TEXT(DATE(2026,E650,1),"mmmm")</f>
        <v>January</v>
      </c>
      <c r="S650" t="str">
        <f>IF(OR(H650=0,H650=6),"Weekend","Weekday")</f>
        <v>Weekend</v>
      </c>
      <c r="T650" s="1" t="str">
        <f>VLOOKUP(I650,[1]Lookup!$D$2:$E$5,2,FALSE)</f>
        <v>Clear</v>
      </c>
      <c r="U650" s="1" t="str">
        <f>IF(F650&lt;6,"Night",
IF(F650&lt;12,"Morning",
IF(F650&lt;17,"Afternoon",
IF(F650&lt;21,"Evening","Night"))))</f>
        <v>Evening</v>
      </c>
      <c r="V650" s="1" t="str">
        <f>IF(J650&lt;0.3,"Cold",
IF(J650&lt;0.6,"Pleasant","Hot"))</f>
        <v>Pleasant</v>
      </c>
      <c r="W650" s="1" t="str">
        <f>IF(L650&lt;0.4,"Low",
IF(L650&lt;0.7,"Medium","High"))</f>
        <v>Medium</v>
      </c>
      <c r="X650" s="1" t="str">
        <f>IF(M650&lt;0.2,"Low",
IF(M650&lt;0.4,"Medium","High"))</f>
        <v>Low</v>
      </c>
      <c r="Y650" s="1" t="str">
        <f>IF(P650&lt;100,"Low",
IF(P650&lt;300,"Medium","High"))</f>
        <v>Low</v>
      </c>
    </row>
    <row r="651" spans="1:25" x14ac:dyDescent="0.3">
      <c r="A651">
        <v>659</v>
      </c>
      <c r="B651" s="2">
        <v>40573</v>
      </c>
      <c r="C651">
        <v>1</v>
      </c>
      <c r="D651">
        <v>0</v>
      </c>
      <c r="E651">
        <v>1</v>
      </c>
      <c r="F651">
        <v>18</v>
      </c>
      <c r="G651" t="b">
        <v>0</v>
      </c>
      <c r="H651">
        <v>0</v>
      </c>
      <c r="I651">
        <v>1</v>
      </c>
      <c r="J651">
        <v>0.26</v>
      </c>
      <c r="K651">
        <v>0.2576</v>
      </c>
      <c r="L651">
        <v>0.65</v>
      </c>
      <c r="M651">
        <v>0.16420000000000001</v>
      </c>
      <c r="N651">
        <v>8</v>
      </c>
      <c r="O651">
        <v>57</v>
      </c>
      <c r="P651">
        <v>65</v>
      </c>
      <c r="Q651" t="str">
        <f>VLOOKUP(MasterData[[#This Row],[season]],[1]Lookup!$A$2:$B$5,2,FALSE)</f>
        <v>Spring</v>
      </c>
      <c r="R651" t="str">
        <f>TEXT(DATE(2026,E651,1),"mmmm")</f>
        <v>January</v>
      </c>
      <c r="S651" t="str">
        <f>IF(OR(H651=0,H651=6),"Weekend","Weekday")</f>
        <v>Weekend</v>
      </c>
      <c r="T651" s="1" t="str">
        <f>VLOOKUP(I651,[1]Lookup!$D$2:$E$5,2,FALSE)</f>
        <v>Clear</v>
      </c>
      <c r="U651" s="1" t="str">
        <f>IF(F651&lt;6,"Night",
IF(F651&lt;12,"Morning",
IF(F651&lt;17,"Afternoon",
IF(F651&lt;21,"Evening","Night"))))</f>
        <v>Evening</v>
      </c>
      <c r="V651" s="1" t="str">
        <f>IF(J651&lt;0.3,"Cold",
IF(J651&lt;0.6,"Pleasant","Hot"))</f>
        <v>Cold</v>
      </c>
      <c r="W651" s="1" t="str">
        <f>IF(L651&lt;0.4,"Low",
IF(L651&lt;0.7,"Medium","High"))</f>
        <v>Medium</v>
      </c>
      <c r="X651" s="1" t="str">
        <f>IF(M651&lt;0.2,"Low",
IF(M651&lt;0.4,"Medium","High"))</f>
        <v>Low</v>
      </c>
      <c r="Y651" s="1" t="str">
        <f>IF(P651&lt;100,"Low",
IF(P651&lt;300,"Medium","High"))</f>
        <v>Low</v>
      </c>
    </row>
    <row r="652" spans="1:25" x14ac:dyDescent="0.3">
      <c r="A652">
        <v>660</v>
      </c>
      <c r="B652" s="2">
        <v>40573</v>
      </c>
      <c r="C652">
        <v>1</v>
      </c>
      <c r="D652">
        <v>0</v>
      </c>
      <c r="E652">
        <v>1</v>
      </c>
      <c r="F652">
        <v>19</v>
      </c>
      <c r="G652" t="b">
        <v>0</v>
      </c>
      <c r="H652">
        <v>0</v>
      </c>
      <c r="I652">
        <v>1</v>
      </c>
      <c r="J652">
        <v>0.26</v>
      </c>
      <c r="K652">
        <v>0.2576</v>
      </c>
      <c r="L652">
        <v>0.65</v>
      </c>
      <c r="M652">
        <v>0.19400000000000001</v>
      </c>
      <c r="N652">
        <v>9</v>
      </c>
      <c r="O652">
        <v>46</v>
      </c>
      <c r="P652">
        <v>55</v>
      </c>
      <c r="Q652" t="str">
        <f>VLOOKUP(MasterData[[#This Row],[season]],[1]Lookup!$A$2:$B$5,2,FALSE)</f>
        <v>Spring</v>
      </c>
      <c r="R652" t="str">
        <f>TEXT(DATE(2026,E652,1),"mmmm")</f>
        <v>January</v>
      </c>
      <c r="S652" t="str">
        <f>IF(OR(H652=0,H652=6),"Weekend","Weekday")</f>
        <v>Weekend</v>
      </c>
      <c r="T652" s="1" t="str">
        <f>VLOOKUP(I652,[1]Lookup!$D$2:$E$5,2,FALSE)</f>
        <v>Clear</v>
      </c>
      <c r="U652" s="1" t="str">
        <f>IF(F652&lt;6,"Night",
IF(F652&lt;12,"Morning",
IF(F652&lt;17,"Afternoon",
IF(F652&lt;21,"Evening","Night"))))</f>
        <v>Evening</v>
      </c>
      <c r="V652" s="1" t="str">
        <f>IF(J652&lt;0.3,"Cold",
IF(J652&lt;0.6,"Pleasant","Hot"))</f>
        <v>Cold</v>
      </c>
      <c r="W652" s="1" t="str">
        <f>IF(L652&lt;0.4,"Low",
IF(L652&lt;0.7,"Medium","High"))</f>
        <v>Medium</v>
      </c>
      <c r="X652" s="1" t="str">
        <f>IF(M652&lt;0.2,"Low",
IF(M652&lt;0.4,"Medium","High"))</f>
        <v>Low</v>
      </c>
      <c r="Y652" s="1" t="str">
        <f>IF(P652&lt;100,"Low",
IF(P652&lt;300,"Medium","High"))</f>
        <v>Low</v>
      </c>
    </row>
    <row r="653" spans="1:25" x14ac:dyDescent="0.3">
      <c r="A653">
        <v>661</v>
      </c>
      <c r="B653" s="2">
        <v>40573</v>
      </c>
      <c r="C653">
        <v>1</v>
      </c>
      <c r="D653">
        <v>0</v>
      </c>
      <c r="E653">
        <v>1</v>
      </c>
      <c r="F653">
        <v>20</v>
      </c>
      <c r="G653" t="b">
        <v>0</v>
      </c>
      <c r="H653">
        <v>0</v>
      </c>
      <c r="I653">
        <v>2</v>
      </c>
      <c r="J653">
        <v>0.26</v>
      </c>
      <c r="K653">
        <v>0.2727</v>
      </c>
      <c r="L653">
        <v>0.65</v>
      </c>
      <c r="M653">
        <v>0.1045</v>
      </c>
      <c r="N653">
        <v>3</v>
      </c>
      <c r="O653">
        <v>30</v>
      </c>
      <c r="P653">
        <v>33</v>
      </c>
      <c r="Q653" t="str">
        <f>VLOOKUP(MasterData[[#This Row],[season]],[1]Lookup!$A$2:$B$5,2,FALSE)</f>
        <v>Spring</v>
      </c>
      <c r="R653" t="str">
        <f>TEXT(DATE(2026,E653,1),"mmmm")</f>
        <v>January</v>
      </c>
      <c r="S653" t="str">
        <f>IF(OR(H653=0,H653=6),"Weekend","Weekday")</f>
        <v>Weekend</v>
      </c>
      <c r="T653" s="1" t="str">
        <f>VLOOKUP(I653,[1]Lookup!$D$2:$E$5,2,FALSE)</f>
        <v>Mist / Cloudy</v>
      </c>
      <c r="U653" s="1" t="str">
        <f>IF(F653&lt;6,"Night",
IF(F653&lt;12,"Morning",
IF(F653&lt;17,"Afternoon",
IF(F653&lt;21,"Evening","Night"))))</f>
        <v>Evening</v>
      </c>
      <c r="V653" s="1" t="str">
        <f>IF(J653&lt;0.3,"Cold",
IF(J653&lt;0.6,"Pleasant","Hot"))</f>
        <v>Cold</v>
      </c>
      <c r="W653" s="1" t="str">
        <f>IF(L653&lt;0.4,"Low",
IF(L653&lt;0.7,"Medium","High"))</f>
        <v>Medium</v>
      </c>
      <c r="X653" s="1" t="str">
        <f>IF(M653&lt;0.2,"Low",
IF(M653&lt;0.4,"Medium","High"))</f>
        <v>Low</v>
      </c>
      <c r="Y653" s="1" t="str">
        <f>IF(P653&lt;100,"Low",
IF(P653&lt;300,"Medium","High"))</f>
        <v>Low</v>
      </c>
    </row>
    <row r="654" spans="1:25" x14ac:dyDescent="0.3">
      <c r="A654">
        <v>662</v>
      </c>
      <c r="B654" s="2">
        <v>40573</v>
      </c>
      <c r="C654">
        <v>1</v>
      </c>
      <c r="D654">
        <v>0</v>
      </c>
      <c r="E654">
        <v>1</v>
      </c>
      <c r="F654">
        <v>21</v>
      </c>
      <c r="G654" t="b">
        <v>0</v>
      </c>
      <c r="H654">
        <v>0</v>
      </c>
      <c r="I654">
        <v>2</v>
      </c>
      <c r="J654">
        <v>0.24</v>
      </c>
      <c r="K654">
        <v>0.2424</v>
      </c>
      <c r="L654">
        <v>0.7</v>
      </c>
      <c r="M654">
        <v>0.16420000000000001</v>
      </c>
      <c r="N654">
        <v>3</v>
      </c>
      <c r="O654">
        <v>25</v>
      </c>
      <c r="P654">
        <v>28</v>
      </c>
      <c r="Q654" t="str">
        <f>VLOOKUP(MasterData[[#This Row],[season]],[1]Lookup!$A$2:$B$5,2,FALSE)</f>
        <v>Spring</v>
      </c>
      <c r="R654" t="str">
        <f>TEXT(DATE(2026,E654,1),"mmmm")</f>
        <v>January</v>
      </c>
      <c r="S654" t="str">
        <f>IF(OR(H654=0,H654=6),"Weekend","Weekday")</f>
        <v>Weekend</v>
      </c>
      <c r="T654" s="1" t="str">
        <f>VLOOKUP(I654,[1]Lookup!$D$2:$E$5,2,FALSE)</f>
        <v>Mist / Cloudy</v>
      </c>
      <c r="U654" s="1" t="str">
        <f>IF(F654&lt;6,"Night",
IF(F654&lt;12,"Morning",
IF(F654&lt;17,"Afternoon",
IF(F654&lt;21,"Evening","Night"))))</f>
        <v>Night</v>
      </c>
      <c r="V654" s="1" t="str">
        <f>IF(J654&lt;0.3,"Cold",
IF(J654&lt;0.6,"Pleasant","Hot"))</f>
        <v>Cold</v>
      </c>
      <c r="W654" s="1" t="str">
        <f>IF(L654&lt;0.4,"Low",
IF(L654&lt;0.7,"Medium","High"))</f>
        <v>High</v>
      </c>
      <c r="X654" s="1" t="str">
        <f>IF(M654&lt;0.2,"Low",
IF(M654&lt;0.4,"Medium","High"))</f>
        <v>Low</v>
      </c>
      <c r="Y654" s="1" t="str">
        <f>IF(P654&lt;100,"Low",
IF(P654&lt;300,"Medium","High"))</f>
        <v>Low</v>
      </c>
    </row>
    <row r="655" spans="1:25" x14ac:dyDescent="0.3">
      <c r="A655">
        <v>663</v>
      </c>
      <c r="B655" s="2">
        <v>40573</v>
      </c>
      <c r="C655">
        <v>1</v>
      </c>
      <c r="D655">
        <v>0</v>
      </c>
      <c r="E655">
        <v>1</v>
      </c>
      <c r="F655">
        <v>22</v>
      </c>
      <c r="G655" t="b">
        <v>0</v>
      </c>
      <c r="H655">
        <v>0</v>
      </c>
      <c r="I655">
        <v>2</v>
      </c>
      <c r="J655">
        <v>0.24</v>
      </c>
      <c r="K655">
        <v>0.2273</v>
      </c>
      <c r="L655">
        <v>0.7</v>
      </c>
      <c r="M655">
        <v>0.19400000000000001</v>
      </c>
      <c r="N655">
        <v>2</v>
      </c>
      <c r="O655">
        <v>19</v>
      </c>
      <c r="P655">
        <v>21</v>
      </c>
      <c r="Q655" t="str">
        <f>VLOOKUP(MasterData[[#This Row],[season]],[1]Lookup!$A$2:$B$5,2,FALSE)</f>
        <v>Spring</v>
      </c>
      <c r="R655" t="str">
        <f>TEXT(DATE(2026,E655,1),"mmmm")</f>
        <v>January</v>
      </c>
      <c r="S655" t="str">
        <f>IF(OR(H655=0,H655=6),"Weekend","Weekday")</f>
        <v>Weekend</v>
      </c>
      <c r="T655" s="1" t="str">
        <f>VLOOKUP(I655,[1]Lookup!$D$2:$E$5,2,FALSE)</f>
        <v>Mist / Cloudy</v>
      </c>
      <c r="U655" s="1" t="str">
        <f>IF(F655&lt;6,"Night",
IF(F655&lt;12,"Morning",
IF(F655&lt;17,"Afternoon",
IF(F655&lt;21,"Evening","Night"))))</f>
        <v>Night</v>
      </c>
      <c r="V655" s="1" t="str">
        <f>IF(J655&lt;0.3,"Cold",
IF(J655&lt;0.6,"Pleasant","Hot"))</f>
        <v>Cold</v>
      </c>
      <c r="W655" s="1" t="str">
        <f>IF(L655&lt;0.4,"Low",
IF(L655&lt;0.7,"Medium","High"))</f>
        <v>High</v>
      </c>
      <c r="X655" s="1" t="str">
        <f>IF(M655&lt;0.2,"Low",
IF(M655&lt;0.4,"Medium","High"))</f>
        <v>Low</v>
      </c>
      <c r="Y655" s="1" t="str">
        <f>IF(P655&lt;100,"Low",
IF(P655&lt;300,"Medium","High"))</f>
        <v>Low</v>
      </c>
    </row>
    <row r="656" spans="1:25" x14ac:dyDescent="0.3">
      <c r="A656">
        <v>664</v>
      </c>
      <c r="B656" s="2">
        <v>40573</v>
      </c>
      <c r="C656">
        <v>1</v>
      </c>
      <c r="D656">
        <v>0</v>
      </c>
      <c r="E656">
        <v>1</v>
      </c>
      <c r="F656">
        <v>23</v>
      </c>
      <c r="G656" t="b">
        <v>0</v>
      </c>
      <c r="H656">
        <v>0</v>
      </c>
      <c r="I656">
        <v>2</v>
      </c>
      <c r="J656">
        <v>0.24</v>
      </c>
      <c r="K656">
        <v>0.21210000000000001</v>
      </c>
      <c r="L656">
        <v>0.65</v>
      </c>
      <c r="M656">
        <v>0.28360000000000002</v>
      </c>
      <c r="N656">
        <v>5</v>
      </c>
      <c r="O656">
        <v>16</v>
      </c>
      <c r="P656">
        <v>21</v>
      </c>
      <c r="Q656" t="str">
        <f>VLOOKUP(MasterData[[#This Row],[season]],[1]Lookup!$A$2:$B$5,2,FALSE)</f>
        <v>Spring</v>
      </c>
      <c r="R656" t="str">
        <f>TEXT(DATE(2026,E656,1),"mmmm")</f>
        <v>January</v>
      </c>
      <c r="S656" t="str">
        <f>IF(OR(H656=0,H656=6),"Weekend","Weekday")</f>
        <v>Weekend</v>
      </c>
      <c r="T656" s="1" t="str">
        <f>VLOOKUP(I656,[1]Lookup!$D$2:$E$5,2,FALSE)</f>
        <v>Mist / Cloudy</v>
      </c>
      <c r="U656" s="1" t="str">
        <f>IF(F656&lt;6,"Night",
IF(F656&lt;12,"Morning",
IF(F656&lt;17,"Afternoon",
IF(F656&lt;21,"Evening","Night"))))</f>
        <v>Night</v>
      </c>
      <c r="V656" s="1" t="str">
        <f>IF(J656&lt;0.3,"Cold",
IF(J656&lt;0.6,"Pleasant","Hot"))</f>
        <v>Cold</v>
      </c>
      <c r="W656" s="1" t="str">
        <f>IF(L656&lt;0.4,"Low",
IF(L656&lt;0.7,"Medium","High"))</f>
        <v>Medium</v>
      </c>
      <c r="X656" s="1" t="str">
        <f>IF(M656&lt;0.2,"Low",
IF(M656&lt;0.4,"Medium","High"))</f>
        <v>Medium</v>
      </c>
      <c r="Y656" s="1" t="str">
        <f>IF(P656&lt;100,"Low",
IF(P656&lt;300,"Medium","High"))</f>
        <v>Low</v>
      </c>
    </row>
    <row r="657" spans="1:25" x14ac:dyDescent="0.3">
      <c r="A657">
        <v>665</v>
      </c>
      <c r="B657" s="2">
        <v>40574</v>
      </c>
      <c r="C657">
        <v>1</v>
      </c>
      <c r="D657">
        <v>0</v>
      </c>
      <c r="E657">
        <v>1</v>
      </c>
      <c r="F657">
        <v>0</v>
      </c>
      <c r="G657" t="b">
        <v>0</v>
      </c>
      <c r="H657">
        <v>1</v>
      </c>
      <c r="I657">
        <v>2</v>
      </c>
      <c r="J657">
        <v>0.24</v>
      </c>
      <c r="K657">
        <v>0.2273</v>
      </c>
      <c r="L657">
        <v>0.65</v>
      </c>
      <c r="M657">
        <v>0.22389999999999999</v>
      </c>
      <c r="N657">
        <v>1</v>
      </c>
      <c r="O657">
        <v>6</v>
      </c>
      <c r="P657">
        <v>7</v>
      </c>
      <c r="Q657" t="str">
        <f>VLOOKUP(MasterData[[#This Row],[season]],[1]Lookup!$A$2:$B$5,2,FALSE)</f>
        <v>Spring</v>
      </c>
      <c r="R657" t="str">
        <f>TEXT(DATE(2026,E657,1),"mmmm")</f>
        <v>January</v>
      </c>
      <c r="S657" t="str">
        <f>IF(OR(H657=0,H657=6),"Weekend","Weekday")</f>
        <v>Weekday</v>
      </c>
      <c r="T657" s="1" t="str">
        <f>VLOOKUP(I657,[1]Lookup!$D$2:$E$5,2,FALSE)</f>
        <v>Mist / Cloudy</v>
      </c>
      <c r="U657" s="1" t="str">
        <f>IF(F657&lt;6,"Night",
IF(F657&lt;12,"Morning",
IF(F657&lt;17,"Afternoon",
IF(F657&lt;21,"Evening","Night"))))</f>
        <v>Night</v>
      </c>
      <c r="V657" s="1" t="str">
        <f>IF(J657&lt;0.3,"Cold",
IF(J657&lt;0.6,"Pleasant","Hot"))</f>
        <v>Cold</v>
      </c>
      <c r="W657" s="1" t="str">
        <f>IF(L657&lt;0.4,"Low",
IF(L657&lt;0.7,"Medium","High"))</f>
        <v>Medium</v>
      </c>
      <c r="X657" s="1" t="str">
        <f>IF(M657&lt;0.2,"Low",
IF(M657&lt;0.4,"Medium","High"))</f>
        <v>Medium</v>
      </c>
      <c r="Y657" s="1" t="str">
        <f>IF(P657&lt;100,"Low",
IF(P657&lt;300,"Medium","High"))</f>
        <v>Low</v>
      </c>
    </row>
    <row r="658" spans="1:25" x14ac:dyDescent="0.3">
      <c r="A658">
        <v>666</v>
      </c>
      <c r="B658" s="2">
        <v>40574</v>
      </c>
      <c r="C658">
        <v>1</v>
      </c>
      <c r="D658">
        <v>0</v>
      </c>
      <c r="E658">
        <v>1</v>
      </c>
      <c r="F658">
        <v>1</v>
      </c>
      <c r="G658" t="b">
        <v>0</v>
      </c>
      <c r="H658">
        <v>1</v>
      </c>
      <c r="I658">
        <v>1</v>
      </c>
      <c r="J658">
        <v>0.22</v>
      </c>
      <c r="K658">
        <v>0.21210000000000001</v>
      </c>
      <c r="L658">
        <v>0.64</v>
      </c>
      <c r="M658">
        <v>0.25369999999999998</v>
      </c>
      <c r="N658">
        <v>2</v>
      </c>
      <c r="O658">
        <v>5</v>
      </c>
      <c r="P658">
        <v>7</v>
      </c>
      <c r="Q658" t="str">
        <f>VLOOKUP(MasterData[[#This Row],[season]],[1]Lookup!$A$2:$B$5,2,FALSE)</f>
        <v>Spring</v>
      </c>
      <c r="R658" t="str">
        <f>TEXT(DATE(2026,E658,1),"mmmm")</f>
        <v>January</v>
      </c>
      <c r="S658" t="str">
        <f>IF(OR(H658=0,H658=6),"Weekend","Weekday")</f>
        <v>Weekday</v>
      </c>
      <c r="T658" s="1" t="str">
        <f>VLOOKUP(I658,[1]Lookup!$D$2:$E$5,2,FALSE)</f>
        <v>Clear</v>
      </c>
      <c r="U658" s="1" t="str">
        <f>IF(F658&lt;6,"Night",
IF(F658&lt;12,"Morning",
IF(F658&lt;17,"Afternoon",
IF(F658&lt;21,"Evening","Night"))))</f>
        <v>Night</v>
      </c>
      <c r="V658" s="1" t="str">
        <f>IF(J658&lt;0.3,"Cold",
IF(J658&lt;0.6,"Pleasant","Hot"))</f>
        <v>Cold</v>
      </c>
      <c r="W658" s="1" t="str">
        <f>IF(L658&lt;0.4,"Low",
IF(L658&lt;0.7,"Medium","High"))</f>
        <v>Medium</v>
      </c>
      <c r="X658" s="1" t="str">
        <f>IF(M658&lt;0.2,"Low",
IF(M658&lt;0.4,"Medium","High"))</f>
        <v>Medium</v>
      </c>
      <c r="Y658" s="1" t="str">
        <f>IF(P658&lt;100,"Low",
IF(P658&lt;300,"Medium","High"))</f>
        <v>Low</v>
      </c>
    </row>
    <row r="659" spans="1:25" x14ac:dyDescent="0.3">
      <c r="A659">
        <v>667</v>
      </c>
      <c r="B659" s="2">
        <v>40574</v>
      </c>
      <c r="C659">
        <v>1</v>
      </c>
      <c r="D659">
        <v>0</v>
      </c>
      <c r="E659">
        <v>1</v>
      </c>
      <c r="F659">
        <v>2</v>
      </c>
      <c r="G659" t="b">
        <v>0</v>
      </c>
      <c r="H659">
        <v>1</v>
      </c>
      <c r="I659">
        <v>1</v>
      </c>
      <c r="J659">
        <v>0.22</v>
      </c>
      <c r="K659">
        <v>0.2273</v>
      </c>
      <c r="L659">
        <v>0.64</v>
      </c>
      <c r="M659">
        <v>0.19400000000000001</v>
      </c>
      <c r="N659">
        <v>0</v>
      </c>
      <c r="O659">
        <v>1</v>
      </c>
      <c r="P659">
        <v>1</v>
      </c>
      <c r="Q659" t="str">
        <f>VLOOKUP(MasterData[[#This Row],[season]],[1]Lookup!$A$2:$B$5,2,FALSE)</f>
        <v>Spring</v>
      </c>
      <c r="R659" t="str">
        <f>TEXT(DATE(2026,E659,1),"mmmm")</f>
        <v>January</v>
      </c>
      <c r="S659" t="str">
        <f>IF(OR(H659=0,H659=6),"Weekend","Weekday")</f>
        <v>Weekday</v>
      </c>
      <c r="T659" s="1" t="str">
        <f>VLOOKUP(I659,[1]Lookup!$D$2:$E$5,2,FALSE)</f>
        <v>Clear</v>
      </c>
      <c r="U659" s="1" t="str">
        <f>IF(F659&lt;6,"Night",
IF(F659&lt;12,"Morning",
IF(F659&lt;17,"Afternoon",
IF(F659&lt;21,"Evening","Night"))))</f>
        <v>Night</v>
      </c>
      <c r="V659" s="1" t="str">
        <f>IF(J659&lt;0.3,"Cold",
IF(J659&lt;0.6,"Pleasant","Hot"))</f>
        <v>Cold</v>
      </c>
      <c r="W659" s="1" t="str">
        <f>IF(L659&lt;0.4,"Low",
IF(L659&lt;0.7,"Medium","High"))</f>
        <v>Medium</v>
      </c>
      <c r="X659" s="1" t="str">
        <f>IF(M659&lt;0.2,"Low",
IF(M659&lt;0.4,"Medium","High"))</f>
        <v>Low</v>
      </c>
      <c r="Y659" s="1" t="str">
        <f>IF(P659&lt;100,"Low",
IF(P659&lt;300,"Medium","High"))</f>
        <v>Low</v>
      </c>
    </row>
    <row r="660" spans="1:25" x14ac:dyDescent="0.3">
      <c r="A660">
        <v>668</v>
      </c>
      <c r="B660" s="2">
        <v>40574</v>
      </c>
      <c r="C660">
        <v>1</v>
      </c>
      <c r="D660">
        <v>0</v>
      </c>
      <c r="E660">
        <v>1</v>
      </c>
      <c r="F660">
        <v>3</v>
      </c>
      <c r="G660" t="b">
        <v>0</v>
      </c>
      <c r="H660">
        <v>1</v>
      </c>
      <c r="I660">
        <v>1</v>
      </c>
      <c r="J660">
        <v>0.22</v>
      </c>
      <c r="K660">
        <v>0.2273</v>
      </c>
      <c r="L660">
        <v>0.64</v>
      </c>
      <c r="M660">
        <v>0.19400000000000001</v>
      </c>
      <c r="N660">
        <v>0</v>
      </c>
      <c r="O660">
        <v>2</v>
      </c>
      <c r="P660">
        <v>2</v>
      </c>
      <c r="Q660" t="str">
        <f>VLOOKUP(MasterData[[#This Row],[season]],[1]Lookup!$A$2:$B$5,2,FALSE)</f>
        <v>Spring</v>
      </c>
      <c r="R660" t="str">
        <f>TEXT(DATE(2026,E660,1),"mmmm")</f>
        <v>January</v>
      </c>
      <c r="S660" t="str">
        <f>IF(OR(H660=0,H660=6),"Weekend","Weekday")</f>
        <v>Weekday</v>
      </c>
      <c r="T660" s="1" t="str">
        <f>VLOOKUP(I660,[1]Lookup!$D$2:$E$5,2,FALSE)</f>
        <v>Clear</v>
      </c>
      <c r="U660" s="1" t="str">
        <f>IF(F660&lt;6,"Night",
IF(F660&lt;12,"Morning",
IF(F660&lt;17,"Afternoon",
IF(F660&lt;21,"Evening","Night"))))</f>
        <v>Night</v>
      </c>
      <c r="V660" s="1" t="str">
        <f>IF(J660&lt;0.3,"Cold",
IF(J660&lt;0.6,"Pleasant","Hot"))</f>
        <v>Cold</v>
      </c>
      <c r="W660" s="1" t="str">
        <f>IF(L660&lt;0.4,"Low",
IF(L660&lt;0.7,"Medium","High"))</f>
        <v>Medium</v>
      </c>
      <c r="X660" s="1" t="str">
        <f>IF(M660&lt;0.2,"Low",
IF(M660&lt;0.4,"Medium","High"))</f>
        <v>Low</v>
      </c>
      <c r="Y660" s="1" t="str">
        <f>IF(P660&lt;100,"Low",
IF(P660&lt;300,"Medium","High"))</f>
        <v>Low</v>
      </c>
    </row>
    <row r="661" spans="1:25" x14ac:dyDescent="0.3">
      <c r="A661">
        <v>669</v>
      </c>
      <c r="B661" s="2">
        <v>40574</v>
      </c>
      <c r="C661">
        <v>1</v>
      </c>
      <c r="D661">
        <v>0</v>
      </c>
      <c r="E661">
        <v>1</v>
      </c>
      <c r="F661">
        <v>4</v>
      </c>
      <c r="G661" t="b">
        <v>0</v>
      </c>
      <c r="H661">
        <v>1</v>
      </c>
      <c r="I661">
        <v>1</v>
      </c>
      <c r="J661">
        <v>0.2</v>
      </c>
      <c r="K661">
        <v>0.19700000000000001</v>
      </c>
      <c r="L661">
        <v>0.59</v>
      </c>
      <c r="M661">
        <v>0.22389999999999999</v>
      </c>
      <c r="N661">
        <v>0</v>
      </c>
      <c r="O661">
        <v>2</v>
      </c>
      <c r="P661">
        <v>2</v>
      </c>
      <c r="Q661" t="str">
        <f>VLOOKUP(MasterData[[#This Row],[season]],[1]Lookup!$A$2:$B$5,2,FALSE)</f>
        <v>Spring</v>
      </c>
      <c r="R661" t="str">
        <f>TEXT(DATE(2026,E661,1),"mmmm")</f>
        <v>January</v>
      </c>
      <c r="S661" t="str">
        <f>IF(OR(H661=0,H661=6),"Weekend","Weekday")</f>
        <v>Weekday</v>
      </c>
      <c r="T661" s="1" t="str">
        <f>VLOOKUP(I661,[1]Lookup!$D$2:$E$5,2,FALSE)</f>
        <v>Clear</v>
      </c>
      <c r="U661" s="1" t="str">
        <f>IF(F661&lt;6,"Night",
IF(F661&lt;12,"Morning",
IF(F661&lt;17,"Afternoon",
IF(F661&lt;21,"Evening","Night"))))</f>
        <v>Night</v>
      </c>
      <c r="V661" s="1" t="str">
        <f>IF(J661&lt;0.3,"Cold",
IF(J661&lt;0.6,"Pleasant","Hot"))</f>
        <v>Cold</v>
      </c>
      <c r="W661" s="1" t="str">
        <f>IF(L661&lt;0.4,"Low",
IF(L661&lt;0.7,"Medium","High"))</f>
        <v>Medium</v>
      </c>
      <c r="X661" s="1" t="str">
        <f>IF(M661&lt;0.2,"Low",
IF(M661&lt;0.4,"Medium","High"))</f>
        <v>Medium</v>
      </c>
      <c r="Y661" s="1" t="str">
        <f>IF(P661&lt;100,"Low",
IF(P661&lt;300,"Medium","High"))</f>
        <v>Low</v>
      </c>
    </row>
    <row r="662" spans="1:25" x14ac:dyDescent="0.3">
      <c r="A662">
        <v>670</v>
      </c>
      <c r="B662" s="2">
        <v>40574</v>
      </c>
      <c r="C662">
        <v>1</v>
      </c>
      <c r="D662">
        <v>0</v>
      </c>
      <c r="E662">
        <v>1</v>
      </c>
      <c r="F662">
        <v>5</v>
      </c>
      <c r="G662" t="b">
        <v>0</v>
      </c>
      <c r="H662">
        <v>1</v>
      </c>
      <c r="I662">
        <v>1</v>
      </c>
      <c r="J662">
        <v>0.18</v>
      </c>
      <c r="K662">
        <v>0.16669999999999999</v>
      </c>
      <c r="L662">
        <v>0.64</v>
      </c>
      <c r="M662">
        <v>0.28360000000000002</v>
      </c>
      <c r="N662">
        <v>0</v>
      </c>
      <c r="O662">
        <v>8</v>
      </c>
      <c r="P662">
        <v>8</v>
      </c>
      <c r="Q662" t="str">
        <f>VLOOKUP(MasterData[[#This Row],[season]],[1]Lookup!$A$2:$B$5,2,FALSE)</f>
        <v>Spring</v>
      </c>
      <c r="R662" t="str">
        <f>TEXT(DATE(2026,E662,1),"mmmm")</f>
        <v>January</v>
      </c>
      <c r="S662" t="str">
        <f>IF(OR(H662=0,H662=6),"Weekend","Weekday")</f>
        <v>Weekday</v>
      </c>
      <c r="T662" s="1" t="str">
        <f>VLOOKUP(I662,[1]Lookup!$D$2:$E$5,2,FALSE)</f>
        <v>Clear</v>
      </c>
      <c r="U662" s="1" t="str">
        <f>IF(F662&lt;6,"Night",
IF(F662&lt;12,"Morning",
IF(F662&lt;17,"Afternoon",
IF(F662&lt;21,"Evening","Night"))))</f>
        <v>Night</v>
      </c>
      <c r="V662" s="1" t="str">
        <f>IF(J662&lt;0.3,"Cold",
IF(J662&lt;0.6,"Pleasant","Hot"))</f>
        <v>Cold</v>
      </c>
      <c r="W662" s="1" t="str">
        <f>IF(L662&lt;0.4,"Low",
IF(L662&lt;0.7,"Medium","High"))</f>
        <v>Medium</v>
      </c>
      <c r="X662" s="1" t="str">
        <f>IF(M662&lt;0.2,"Low",
IF(M662&lt;0.4,"Medium","High"))</f>
        <v>Medium</v>
      </c>
      <c r="Y662" s="1" t="str">
        <f>IF(P662&lt;100,"Low",
IF(P662&lt;300,"Medium","High"))</f>
        <v>Low</v>
      </c>
    </row>
    <row r="663" spans="1:25" x14ac:dyDescent="0.3">
      <c r="A663">
        <v>671</v>
      </c>
      <c r="B663" s="2">
        <v>40574</v>
      </c>
      <c r="C663">
        <v>1</v>
      </c>
      <c r="D663">
        <v>0</v>
      </c>
      <c r="E663">
        <v>1</v>
      </c>
      <c r="F663">
        <v>6</v>
      </c>
      <c r="G663" t="b">
        <v>0</v>
      </c>
      <c r="H663">
        <v>1</v>
      </c>
      <c r="I663">
        <v>1</v>
      </c>
      <c r="J663">
        <v>0.16</v>
      </c>
      <c r="K663">
        <v>0.13639999999999999</v>
      </c>
      <c r="L663">
        <v>0.69</v>
      </c>
      <c r="M663">
        <v>0.32840000000000003</v>
      </c>
      <c r="N663">
        <v>0</v>
      </c>
      <c r="O663">
        <v>37</v>
      </c>
      <c r="P663">
        <v>37</v>
      </c>
      <c r="Q663" t="str">
        <f>VLOOKUP(MasterData[[#This Row],[season]],[1]Lookup!$A$2:$B$5,2,FALSE)</f>
        <v>Spring</v>
      </c>
      <c r="R663" t="str">
        <f>TEXT(DATE(2026,E663,1),"mmmm")</f>
        <v>January</v>
      </c>
      <c r="S663" t="str">
        <f>IF(OR(H663=0,H663=6),"Weekend","Weekday")</f>
        <v>Weekday</v>
      </c>
      <c r="T663" s="1" t="str">
        <f>VLOOKUP(I663,[1]Lookup!$D$2:$E$5,2,FALSE)</f>
        <v>Clear</v>
      </c>
      <c r="U663" s="1" t="str">
        <f>IF(F663&lt;6,"Night",
IF(F663&lt;12,"Morning",
IF(F663&lt;17,"Afternoon",
IF(F663&lt;21,"Evening","Night"))))</f>
        <v>Morning</v>
      </c>
      <c r="V663" s="1" t="str">
        <f>IF(J663&lt;0.3,"Cold",
IF(J663&lt;0.6,"Pleasant","Hot"))</f>
        <v>Cold</v>
      </c>
      <c r="W663" s="1" t="str">
        <f>IF(L663&lt;0.4,"Low",
IF(L663&lt;0.7,"Medium","High"))</f>
        <v>Medium</v>
      </c>
      <c r="X663" s="1" t="str">
        <f>IF(M663&lt;0.2,"Low",
IF(M663&lt;0.4,"Medium","High"))</f>
        <v>Medium</v>
      </c>
      <c r="Y663" s="1" t="str">
        <f>IF(P663&lt;100,"Low",
IF(P663&lt;300,"Medium","High"))</f>
        <v>Low</v>
      </c>
    </row>
    <row r="664" spans="1:25" x14ac:dyDescent="0.3">
      <c r="A664">
        <v>672</v>
      </c>
      <c r="B664" s="2">
        <v>40574</v>
      </c>
      <c r="C664">
        <v>1</v>
      </c>
      <c r="D664">
        <v>0</v>
      </c>
      <c r="E664">
        <v>1</v>
      </c>
      <c r="F664">
        <v>7</v>
      </c>
      <c r="G664" t="b">
        <v>0</v>
      </c>
      <c r="H664">
        <v>1</v>
      </c>
      <c r="I664">
        <v>2</v>
      </c>
      <c r="J664">
        <v>0.16</v>
      </c>
      <c r="K664">
        <v>0.13639999999999999</v>
      </c>
      <c r="L664">
        <v>0.64</v>
      </c>
      <c r="M664">
        <v>0.28360000000000002</v>
      </c>
      <c r="N664">
        <v>1</v>
      </c>
      <c r="O664">
        <v>71</v>
      </c>
      <c r="P664">
        <v>72</v>
      </c>
      <c r="Q664" t="str">
        <f>VLOOKUP(MasterData[[#This Row],[season]],[1]Lookup!$A$2:$B$5,2,FALSE)</f>
        <v>Spring</v>
      </c>
      <c r="R664" t="str">
        <f>TEXT(DATE(2026,E664,1),"mmmm")</f>
        <v>January</v>
      </c>
      <c r="S664" t="str">
        <f>IF(OR(H664=0,H664=6),"Weekend","Weekday")</f>
        <v>Weekday</v>
      </c>
      <c r="T664" s="1" t="str">
        <f>VLOOKUP(I664,[1]Lookup!$D$2:$E$5,2,FALSE)</f>
        <v>Mist / Cloudy</v>
      </c>
      <c r="U664" s="1" t="str">
        <f>IF(F664&lt;6,"Night",
IF(F664&lt;12,"Morning",
IF(F664&lt;17,"Afternoon",
IF(F664&lt;21,"Evening","Night"))))</f>
        <v>Morning</v>
      </c>
      <c r="V664" s="1" t="str">
        <f>IF(J664&lt;0.3,"Cold",
IF(J664&lt;0.6,"Pleasant","Hot"))</f>
        <v>Cold</v>
      </c>
      <c r="W664" s="1" t="str">
        <f>IF(L664&lt;0.4,"Low",
IF(L664&lt;0.7,"Medium","High"))</f>
        <v>Medium</v>
      </c>
      <c r="X664" s="1" t="str">
        <f>IF(M664&lt;0.2,"Low",
IF(M664&lt;0.4,"Medium","High"))</f>
        <v>Medium</v>
      </c>
      <c r="Y664" s="1" t="str">
        <f>IF(P664&lt;100,"Low",
IF(P664&lt;300,"Medium","High"))</f>
        <v>Low</v>
      </c>
    </row>
    <row r="665" spans="1:25" x14ac:dyDescent="0.3">
      <c r="A665">
        <v>673</v>
      </c>
      <c r="B665" s="2">
        <v>40574</v>
      </c>
      <c r="C665">
        <v>1</v>
      </c>
      <c r="D665">
        <v>0</v>
      </c>
      <c r="E665">
        <v>1</v>
      </c>
      <c r="F665">
        <v>8</v>
      </c>
      <c r="G665" t="b">
        <v>0</v>
      </c>
      <c r="H665">
        <v>1</v>
      </c>
      <c r="I665">
        <v>2</v>
      </c>
      <c r="J665">
        <v>0.16</v>
      </c>
      <c r="K665">
        <v>0.13639999999999999</v>
      </c>
      <c r="L665">
        <v>0.59</v>
      </c>
      <c r="M665">
        <v>0.28360000000000002</v>
      </c>
      <c r="N665">
        <v>3</v>
      </c>
      <c r="O665">
        <v>182</v>
      </c>
      <c r="P665">
        <v>185</v>
      </c>
      <c r="Q665" t="str">
        <f>VLOOKUP(MasterData[[#This Row],[season]],[1]Lookup!$A$2:$B$5,2,FALSE)</f>
        <v>Spring</v>
      </c>
      <c r="R665" t="str">
        <f>TEXT(DATE(2026,E665,1),"mmmm")</f>
        <v>January</v>
      </c>
      <c r="S665" t="str">
        <f>IF(OR(H665=0,H665=6),"Weekend","Weekday")</f>
        <v>Weekday</v>
      </c>
      <c r="T665" s="1" t="str">
        <f>VLOOKUP(I665,[1]Lookup!$D$2:$E$5,2,FALSE)</f>
        <v>Mist / Cloudy</v>
      </c>
      <c r="U665" s="1" t="str">
        <f>IF(F665&lt;6,"Night",
IF(F665&lt;12,"Morning",
IF(F665&lt;17,"Afternoon",
IF(F665&lt;21,"Evening","Night"))))</f>
        <v>Morning</v>
      </c>
      <c r="V665" s="1" t="str">
        <f>IF(J665&lt;0.3,"Cold",
IF(J665&lt;0.6,"Pleasant","Hot"))</f>
        <v>Cold</v>
      </c>
      <c r="W665" s="1" t="str">
        <f>IF(L665&lt;0.4,"Low",
IF(L665&lt;0.7,"Medium","High"))</f>
        <v>Medium</v>
      </c>
      <c r="X665" s="1" t="str">
        <f>IF(M665&lt;0.2,"Low",
IF(M665&lt;0.4,"Medium","High"))</f>
        <v>Medium</v>
      </c>
      <c r="Y665" s="1" t="str">
        <f>IF(P665&lt;100,"Low",
IF(P665&lt;300,"Medium","High"))</f>
        <v>Medium</v>
      </c>
    </row>
    <row r="666" spans="1:25" x14ac:dyDescent="0.3">
      <c r="A666">
        <v>674</v>
      </c>
      <c r="B666" s="2">
        <v>40574</v>
      </c>
      <c r="C666">
        <v>1</v>
      </c>
      <c r="D666">
        <v>0</v>
      </c>
      <c r="E666">
        <v>1</v>
      </c>
      <c r="F666">
        <v>9</v>
      </c>
      <c r="G666" t="b">
        <v>0</v>
      </c>
      <c r="H666">
        <v>1</v>
      </c>
      <c r="I666">
        <v>2</v>
      </c>
      <c r="J666">
        <v>0.16</v>
      </c>
      <c r="K666">
        <v>0.13639999999999999</v>
      </c>
      <c r="L666">
        <v>0.59</v>
      </c>
      <c r="M666">
        <v>0.29849999999999999</v>
      </c>
      <c r="N666">
        <v>0</v>
      </c>
      <c r="O666">
        <v>112</v>
      </c>
      <c r="P666">
        <v>112</v>
      </c>
      <c r="Q666" t="str">
        <f>VLOOKUP(MasterData[[#This Row],[season]],[1]Lookup!$A$2:$B$5,2,FALSE)</f>
        <v>Spring</v>
      </c>
      <c r="R666" t="str">
        <f>TEXT(DATE(2026,E666,1),"mmmm")</f>
        <v>January</v>
      </c>
      <c r="S666" t="str">
        <f>IF(OR(H666=0,H666=6),"Weekend","Weekday")</f>
        <v>Weekday</v>
      </c>
      <c r="T666" s="1" t="str">
        <f>VLOOKUP(I666,[1]Lookup!$D$2:$E$5,2,FALSE)</f>
        <v>Mist / Cloudy</v>
      </c>
      <c r="U666" s="1" t="str">
        <f>IF(F666&lt;6,"Night",
IF(F666&lt;12,"Morning",
IF(F666&lt;17,"Afternoon",
IF(F666&lt;21,"Evening","Night"))))</f>
        <v>Morning</v>
      </c>
      <c r="V666" s="1" t="str">
        <f>IF(J666&lt;0.3,"Cold",
IF(J666&lt;0.6,"Pleasant","Hot"))</f>
        <v>Cold</v>
      </c>
      <c r="W666" s="1" t="str">
        <f>IF(L666&lt;0.4,"Low",
IF(L666&lt;0.7,"Medium","High"))</f>
        <v>Medium</v>
      </c>
      <c r="X666" s="1" t="str">
        <f>IF(M666&lt;0.2,"Low",
IF(M666&lt;0.4,"Medium","High"))</f>
        <v>Medium</v>
      </c>
      <c r="Y666" s="1" t="str">
        <f>IF(P666&lt;100,"Low",
IF(P666&lt;300,"Medium","High"))</f>
        <v>Medium</v>
      </c>
    </row>
    <row r="667" spans="1:25" x14ac:dyDescent="0.3">
      <c r="A667">
        <v>675</v>
      </c>
      <c r="B667" s="2">
        <v>40574</v>
      </c>
      <c r="C667">
        <v>1</v>
      </c>
      <c r="D667">
        <v>0</v>
      </c>
      <c r="E667">
        <v>1</v>
      </c>
      <c r="F667">
        <v>10</v>
      </c>
      <c r="G667" t="b">
        <v>0</v>
      </c>
      <c r="H667">
        <v>1</v>
      </c>
      <c r="I667">
        <v>2</v>
      </c>
      <c r="J667">
        <v>0.16</v>
      </c>
      <c r="K667">
        <v>0.1515</v>
      </c>
      <c r="L667">
        <v>0.59</v>
      </c>
      <c r="M667">
        <v>0.19400000000000001</v>
      </c>
      <c r="N667">
        <v>1</v>
      </c>
      <c r="O667">
        <v>68</v>
      </c>
      <c r="P667">
        <v>69</v>
      </c>
      <c r="Q667" t="str">
        <f>VLOOKUP(MasterData[[#This Row],[season]],[1]Lookup!$A$2:$B$5,2,FALSE)</f>
        <v>Spring</v>
      </c>
      <c r="R667" t="str">
        <f>TEXT(DATE(2026,E667,1),"mmmm")</f>
        <v>January</v>
      </c>
      <c r="S667" t="str">
        <f>IF(OR(H667=0,H667=6),"Weekend","Weekday")</f>
        <v>Weekday</v>
      </c>
      <c r="T667" s="1" t="str">
        <f>VLOOKUP(I667,[1]Lookup!$D$2:$E$5,2,FALSE)</f>
        <v>Mist / Cloudy</v>
      </c>
      <c r="U667" s="1" t="str">
        <f>IF(F667&lt;6,"Night",
IF(F667&lt;12,"Morning",
IF(F667&lt;17,"Afternoon",
IF(F667&lt;21,"Evening","Night"))))</f>
        <v>Morning</v>
      </c>
      <c r="V667" s="1" t="str">
        <f>IF(J667&lt;0.3,"Cold",
IF(J667&lt;0.6,"Pleasant","Hot"))</f>
        <v>Cold</v>
      </c>
      <c r="W667" s="1" t="str">
        <f>IF(L667&lt;0.4,"Low",
IF(L667&lt;0.7,"Medium","High"))</f>
        <v>Medium</v>
      </c>
      <c r="X667" s="1" t="str">
        <f>IF(M667&lt;0.2,"Low",
IF(M667&lt;0.4,"Medium","High"))</f>
        <v>Low</v>
      </c>
      <c r="Y667" s="1" t="str">
        <f>IF(P667&lt;100,"Low",
IF(P667&lt;300,"Medium","High"))</f>
        <v>Low</v>
      </c>
    </row>
    <row r="668" spans="1:25" x14ac:dyDescent="0.3">
      <c r="A668">
        <v>676</v>
      </c>
      <c r="B668" s="2">
        <v>40574</v>
      </c>
      <c r="C668">
        <v>1</v>
      </c>
      <c r="D668">
        <v>0</v>
      </c>
      <c r="E668">
        <v>1</v>
      </c>
      <c r="F668">
        <v>11</v>
      </c>
      <c r="G668" t="b">
        <v>0</v>
      </c>
      <c r="H668">
        <v>1</v>
      </c>
      <c r="I668">
        <v>2</v>
      </c>
      <c r="J668">
        <v>0.16</v>
      </c>
      <c r="K668">
        <v>0.1515</v>
      </c>
      <c r="L668">
        <v>0.59</v>
      </c>
      <c r="M668">
        <v>0.19400000000000001</v>
      </c>
      <c r="N668">
        <v>2</v>
      </c>
      <c r="O668">
        <v>46</v>
      </c>
      <c r="P668">
        <v>48</v>
      </c>
      <c r="Q668" t="str">
        <f>VLOOKUP(MasterData[[#This Row],[season]],[1]Lookup!$A$2:$B$5,2,FALSE)</f>
        <v>Spring</v>
      </c>
      <c r="R668" t="str">
        <f>TEXT(DATE(2026,E668,1),"mmmm")</f>
        <v>January</v>
      </c>
      <c r="S668" t="str">
        <f>IF(OR(H668=0,H668=6),"Weekend","Weekday")</f>
        <v>Weekday</v>
      </c>
      <c r="T668" s="1" t="str">
        <f>VLOOKUP(I668,[1]Lookup!$D$2:$E$5,2,FALSE)</f>
        <v>Mist / Cloudy</v>
      </c>
      <c r="U668" s="1" t="str">
        <f>IF(F668&lt;6,"Night",
IF(F668&lt;12,"Morning",
IF(F668&lt;17,"Afternoon",
IF(F668&lt;21,"Evening","Night"))))</f>
        <v>Morning</v>
      </c>
      <c r="V668" s="1" t="str">
        <f>IF(J668&lt;0.3,"Cold",
IF(J668&lt;0.6,"Pleasant","Hot"))</f>
        <v>Cold</v>
      </c>
      <c r="W668" s="1" t="str">
        <f>IF(L668&lt;0.4,"Low",
IF(L668&lt;0.7,"Medium","High"))</f>
        <v>Medium</v>
      </c>
      <c r="X668" s="1" t="str">
        <f>IF(M668&lt;0.2,"Low",
IF(M668&lt;0.4,"Medium","High"))</f>
        <v>Low</v>
      </c>
      <c r="Y668" s="1" t="str">
        <f>IF(P668&lt;100,"Low",
IF(P668&lt;300,"Medium","High"))</f>
        <v>Low</v>
      </c>
    </row>
    <row r="669" spans="1:25" x14ac:dyDescent="0.3">
      <c r="A669">
        <v>677</v>
      </c>
      <c r="B669" s="2">
        <v>40574</v>
      </c>
      <c r="C669">
        <v>1</v>
      </c>
      <c r="D669">
        <v>0</v>
      </c>
      <c r="E669">
        <v>1</v>
      </c>
      <c r="F669">
        <v>12</v>
      </c>
      <c r="G669" t="b">
        <v>0</v>
      </c>
      <c r="H669">
        <v>1</v>
      </c>
      <c r="I669">
        <v>2</v>
      </c>
      <c r="J669">
        <v>0.18</v>
      </c>
      <c r="K669">
        <v>0.21210000000000001</v>
      </c>
      <c r="L669">
        <v>0.55000000000000004</v>
      </c>
      <c r="M669">
        <v>0.1045</v>
      </c>
      <c r="N669">
        <v>6</v>
      </c>
      <c r="O669">
        <v>62</v>
      </c>
      <c r="P669">
        <v>68</v>
      </c>
      <c r="Q669" t="str">
        <f>VLOOKUP(MasterData[[#This Row],[season]],[1]Lookup!$A$2:$B$5,2,FALSE)</f>
        <v>Spring</v>
      </c>
      <c r="R669" t="str">
        <f>TEXT(DATE(2026,E669,1),"mmmm")</f>
        <v>January</v>
      </c>
      <c r="S669" t="str">
        <f>IF(OR(H669=0,H669=6),"Weekend","Weekday")</f>
        <v>Weekday</v>
      </c>
      <c r="T669" s="1" t="str">
        <f>VLOOKUP(I669,[1]Lookup!$D$2:$E$5,2,FALSE)</f>
        <v>Mist / Cloudy</v>
      </c>
      <c r="U669" s="1" t="str">
        <f>IF(F669&lt;6,"Night",
IF(F669&lt;12,"Morning",
IF(F669&lt;17,"Afternoon",
IF(F669&lt;21,"Evening","Night"))))</f>
        <v>Afternoon</v>
      </c>
      <c r="V669" s="1" t="str">
        <f>IF(J669&lt;0.3,"Cold",
IF(J669&lt;0.6,"Pleasant","Hot"))</f>
        <v>Cold</v>
      </c>
      <c r="W669" s="1" t="str">
        <f>IF(L669&lt;0.4,"Low",
IF(L669&lt;0.7,"Medium","High"))</f>
        <v>Medium</v>
      </c>
      <c r="X669" s="1" t="str">
        <f>IF(M669&lt;0.2,"Low",
IF(M669&lt;0.4,"Medium","High"))</f>
        <v>Low</v>
      </c>
      <c r="Y669" s="1" t="str">
        <f>IF(P669&lt;100,"Low",
IF(P669&lt;300,"Medium","High"))</f>
        <v>Low</v>
      </c>
    </row>
    <row r="670" spans="1:25" x14ac:dyDescent="0.3">
      <c r="A670">
        <v>678</v>
      </c>
      <c r="B670" s="2">
        <v>40574</v>
      </c>
      <c r="C670">
        <v>1</v>
      </c>
      <c r="D670">
        <v>0</v>
      </c>
      <c r="E670">
        <v>1</v>
      </c>
      <c r="F670">
        <v>13</v>
      </c>
      <c r="G670" t="b">
        <v>0</v>
      </c>
      <c r="H670">
        <v>1</v>
      </c>
      <c r="I670">
        <v>2</v>
      </c>
      <c r="J670">
        <v>0.16</v>
      </c>
      <c r="K670">
        <v>0.2273</v>
      </c>
      <c r="L670">
        <v>0.59</v>
      </c>
      <c r="M670">
        <v>0</v>
      </c>
      <c r="N670">
        <v>2</v>
      </c>
      <c r="O670">
        <v>52</v>
      </c>
      <c r="P670">
        <v>54</v>
      </c>
      <c r="Q670" t="str">
        <f>VLOOKUP(MasterData[[#This Row],[season]],[1]Lookup!$A$2:$B$5,2,FALSE)</f>
        <v>Spring</v>
      </c>
      <c r="R670" t="str">
        <f>TEXT(DATE(2026,E670,1),"mmmm")</f>
        <v>January</v>
      </c>
      <c r="S670" t="str">
        <f>IF(OR(H670=0,H670=6),"Weekend","Weekday")</f>
        <v>Weekday</v>
      </c>
      <c r="T670" s="1" t="str">
        <f>VLOOKUP(I670,[1]Lookup!$D$2:$E$5,2,FALSE)</f>
        <v>Mist / Cloudy</v>
      </c>
      <c r="U670" s="1" t="str">
        <f>IF(F670&lt;6,"Night",
IF(F670&lt;12,"Morning",
IF(F670&lt;17,"Afternoon",
IF(F670&lt;21,"Evening","Night"))))</f>
        <v>Afternoon</v>
      </c>
      <c r="V670" s="1" t="str">
        <f>IF(J670&lt;0.3,"Cold",
IF(J670&lt;0.6,"Pleasant","Hot"))</f>
        <v>Cold</v>
      </c>
      <c r="W670" s="1" t="str">
        <f>IF(L670&lt;0.4,"Low",
IF(L670&lt;0.7,"Medium","High"))</f>
        <v>Medium</v>
      </c>
      <c r="X670" s="1" t="str">
        <f>IF(M670&lt;0.2,"Low",
IF(M670&lt;0.4,"Medium","High"))</f>
        <v>Low</v>
      </c>
      <c r="Y670" s="1" t="str">
        <f>IF(P670&lt;100,"Low",
IF(P670&lt;300,"Medium","High"))</f>
        <v>Low</v>
      </c>
    </row>
    <row r="671" spans="1:25" x14ac:dyDescent="0.3">
      <c r="A671">
        <v>679</v>
      </c>
      <c r="B671" s="2">
        <v>40574</v>
      </c>
      <c r="C671">
        <v>1</v>
      </c>
      <c r="D671">
        <v>0</v>
      </c>
      <c r="E671">
        <v>1</v>
      </c>
      <c r="F671">
        <v>14</v>
      </c>
      <c r="G671" t="b">
        <v>0</v>
      </c>
      <c r="H671">
        <v>1</v>
      </c>
      <c r="I671">
        <v>2</v>
      </c>
      <c r="J671">
        <v>0.18</v>
      </c>
      <c r="K671">
        <v>0.19700000000000001</v>
      </c>
      <c r="L671">
        <v>0.55000000000000004</v>
      </c>
      <c r="M671">
        <v>0.1343</v>
      </c>
      <c r="N671">
        <v>1</v>
      </c>
      <c r="O671">
        <v>85</v>
      </c>
      <c r="P671">
        <v>86</v>
      </c>
      <c r="Q671" t="str">
        <f>VLOOKUP(MasterData[[#This Row],[season]],[1]Lookup!$A$2:$B$5,2,FALSE)</f>
        <v>Spring</v>
      </c>
      <c r="R671" t="str">
        <f>TEXT(DATE(2026,E671,1),"mmmm")</f>
        <v>January</v>
      </c>
      <c r="S671" t="str">
        <f>IF(OR(H671=0,H671=6),"Weekend","Weekday")</f>
        <v>Weekday</v>
      </c>
      <c r="T671" s="1" t="str">
        <f>VLOOKUP(I671,[1]Lookup!$D$2:$E$5,2,FALSE)</f>
        <v>Mist / Cloudy</v>
      </c>
      <c r="U671" s="1" t="str">
        <f>IF(F671&lt;6,"Night",
IF(F671&lt;12,"Morning",
IF(F671&lt;17,"Afternoon",
IF(F671&lt;21,"Evening","Night"))))</f>
        <v>Afternoon</v>
      </c>
      <c r="V671" s="1" t="str">
        <f>IF(J671&lt;0.3,"Cold",
IF(J671&lt;0.6,"Pleasant","Hot"))</f>
        <v>Cold</v>
      </c>
      <c r="W671" s="1" t="str">
        <f>IF(L671&lt;0.4,"Low",
IF(L671&lt;0.7,"Medium","High"))</f>
        <v>Medium</v>
      </c>
      <c r="X671" s="1" t="str">
        <f>IF(M671&lt;0.2,"Low",
IF(M671&lt;0.4,"Medium","High"))</f>
        <v>Low</v>
      </c>
      <c r="Y671" s="1" t="str">
        <f>IF(P671&lt;100,"Low",
IF(P671&lt;300,"Medium","High"))</f>
        <v>Low</v>
      </c>
    </row>
    <row r="672" spans="1:25" x14ac:dyDescent="0.3">
      <c r="A672">
        <v>680</v>
      </c>
      <c r="B672" s="2">
        <v>40574</v>
      </c>
      <c r="C672">
        <v>1</v>
      </c>
      <c r="D672">
        <v>0</v>
      </c>
      <c r="E672">
        <v>1</v>
      </c>
      <c r="F672">
        <v>15</v>
      </c>
      <c r="G672" t="b">
        <v>0</v>
      </c>
      <c r="H672">
        <v>1</v>
      </c>
      <c r="I672">
        <v>2</v>
      </c>
      <c r="J672">
        <v>0.16</v>
      </c>
      <c r="K672">
        <v>0.18179999999999999</v>
      </c>
      <c r="L672">
        <v>0.59</v>
      </c>
      <c r="M672">
        <v>0.1343</v>
      </c>
      <c r="N672">
        <v>3</v>
      </c>
      <c r="O672">
        <v>41</v>
      </c>
      <c r="P672">
        <v>44</v>
      </c>
      <c r="Q672" t="str">
        <f>VLOOKUP(MasterData[[#This Row],[season]],[1]Lookup!$A$2:$B$5,2,FALSE)</f>
        <v>Spring</v>
      </c>
      <c r="R672" t="str">
        <f>TEXT(DATE(2026,E672,1),"mmmm")</f>
        <v>January</v>
      </c>
      <c r="S672" t="str">
        <f>IF(OR(H672=0,H672=6),"Weekend","Weekday")</f>
        <v>Weekday</v>
      </c>
      <c r="T672" s="1" t="str">
        <f>VLOOKUP(I672,[1]Lookup!$D$2:$E$5,2,FALSE)</f>
        <v>Mist / Cloudy</v>
      </c>
      <c r="U672" s="1" t="str">
        <f>IF(F672&lt;6,"Night",
IF(F672&lt;12,"Morning",
IF(F672&lt;17,"Afternoon",
IF(F672&lt;21,"Evening","Night"))))</f>
        <v>Afternoon</v>
      </c>
      <c r="V672" s="1" t="str">
        <f>IF(J672&lt;0.3,"Cold",
IF(J672&lt;0.6,"Pleasant","Hot"))</f>
        <v>Cold</v>
      </c>
      <c r="W672" s="1" t="str">
        <f>IF(L672&lt;0.4,"Low",
IF(L672&lt;0.7,"Medium","High"))</f>
        <v>Medium</v>
      </c>
      <c r="X672" s="1" t="str">
        <f>IF(M672&lt;0.2,"Low",
IF(M672&lt;0.4,"Medium","High"))</f>
        <v>Low</v>
      </c>
      <c r="Y672" s="1" t="str">
        <f>IF(P672&lt;100,"Low",
IF(P672&lt;300,"Medium","High"))</f>
        <v>Low</v>
      </c>
    </row>
    <row r="673" spans="1:25" x14ac:dyDescent="0.3">
      <c r="A673">
        <v>681</v>
      </c>
      <c r="B673" s="2">
        <v>40574</v>
      </c>
      <c r="C673">
        <v>1</v>
      </c>
      <c r="D673">
        <v>0</v>
      </c>
      <c r="E673">
        <v>1</v>
      </c>
      <c r="F673">
        <v>16</v>
      </c>
      <c r="G673" t="b">
        <v>0</v>
      </c>
      <c r="H673">
        <v>1</v>
      </c>
      <c r="I673">
        <v>2</v>
      </c>
      <c r="J673">
        <v>0.16</v>
      </c>
      <c r="K673">
        <v>0.18179999999999999</v>
      </c>
      <c r="L673">
        <v>0.56000000000000005</v>
      </c>
      <c r="M673">
        <v>0.19400000000000001</v>
      </c>
      <c r="N673">
        <v>3</v>
      </c>
      <c r="O673">
        <v>83</v>
      </c>
      <c r="P673">
        <v>86</v>
      </c>
      <c r="Q673" t="str">
        <f>VLOOKUP(MasterData[[#This Row],[season]],[1]Lookup!$A$2:$B$5,2,FALSE)</f>
        <v>Spring</v>
      </c>
      <c r="R673" t="str">
        <f>TEXT(DATE(2026,E673,1),"mmmm")</f>
        <v>January</v>
      </c>
      <c r="S673" t="str">
        <f>IF(OR(H673=0,H673=6),"Weekend","Weekday")</f>
        <v>Weekday</v>
      </c>
      <c r="T673" s="1" t="str">
        <f>VLOOKUP(I673,[1]Lookup!$D$2:$E$5,2,FALSE)</f>
        <v>Mist / Cloudy</v>
      </c>
      <c r="U673" s="1" t="str">
        <f>IF(F673&lt;6,"Night",
IF(F673&lt;12,"Morning",
IF(F673&lt;17,"Afternoon",
IF(F673&lt;21,"Evening","Night"))))</f>
        <v>Afternoon</v>
      </c>
      <c r="V673" s="1" t="str">
        <f>IF(J673&lt;0.3,"Cold",
IF(J673&lt;0.6,"Pleasant","Hot"))</f>
        <v>Cold</v>
      </c>
      <c r="W673" s="1" t="str">
        <f>IF(L673&lt;0.4,"Low",
IF(L673&lt;0.7,"Medium","High"))</f>
        <v>Medium</v>
      </c>
      <c r="X673" s="1" t="str">
        <f>IF(M673&lt;0.2,"Low",
IF(M673&lt;0.4,"Medium","High"))</f>
        <v>Low</v>
      </c>
      <c r="Y673" s="1" t="str">
        <f>IF(P673&lt;100,"Low",
IF(P673&lt;300,"Medium","High"))</f>
        <v>Low</v>
      </c>
    </row>
    <row r="674" spans="1:25" x14ac:dyDescent="0.3">
      <c r="A674">
        <v>682</v>
      </c>
      <c r="B674" s="2">
        <v>40574</v>
      </c>
      <c r="C674">
        <v>1</v>
      </c>
      <c r="D674">
        <v>0</v>
      </c>
      <c r="E674">
        <v>1</v>
      </c>
      <c r="F674">
        <v>17</v>
      </c>
      <c r="G674" t="b">
        <v>0</v>
      </c>
      <c r="H674">
        <v>1</v>
      </c>
      <c r="I674">
        <v>2</v>
      </c>
      <c r="J674">
        <v>0.16</v>
      </c>
      <c r="K674">
        <v>0.1515</v>
      </c>
      <c r="L674">
        <v>0.59</v>
      </c>
      <c r="M674">
        <v>0.19400000000000001</v>
      </c>
      <c r="N674">
        <v>6</v>
      </c>
      <c r="O674">
        <v>155</v>
      </c>
      <c r="P674">
        <v>161</v>
      </c>
      <c r="Q674" t="str">
        <f>VLOOKUP(MasterData[[#This Row],[season]],[1]Lookup!$A$2:$B$5,2,FALSE)</f>
        <v>Spring</v>
      </c>
      <c r="R674" t="str">
        <f>TEXT(DATE(2026,E674,1),"mmmm")</f>
        <v>January</v>
      </c>
      <c r="S674" t="str">
        <f>IF(OR(H674=0,H674=6),"Weekend","Weekday")</f>
        <v>Weekday</v>
      </c>
      <c r="T674" s="1" t="str">
        <f>VLOOKUP(I674,[1]Lookup!$D$2:$E$5,2,FALSE)</f>
        <v>Mist / Cloudy</v>
      </c>
      <c r="U674" s="1" t="str">
        <f>IF(F674&lt;6,"Night",
IF(F674&lt;12,"Morning",
IF(F674&lt;17,"Afternoon",
IF(F674&lt;21,"Evening","Night"))))</f>
        <v>Evening</v>
      </c>
      <c r="V674" s="1" t="str">
        <f>IF(J674&lt;0.3,"Cold",
IF(J674&lt;0.6,"Pleasant","Hot"))</f>
        <v>Cold</v>
      </c>
      <c r="W674" s="1" t="str">
        <f>IF(L674&lt;0.4,"Low",
IF(L674&lt;0.7,"Medium","High"))</f>
        <v>Medium</v>
      </c>
      <c r="X674" s="1" t="str">
        <f>IF(M674&lt;0.2,"Low",
IF(M674&lt;0.4,"Medium","High"))</f>
        <v>Low</v>
      </c>
      <c r="Y674" s="1" t="str">
        <f>IF(P674&lt;100,"Low",
IF(P674&lt;300,"Medium","High"))</f>
        <v>Medium</v>
      </c>
    </row>
    <row r="675" spans="1:25" x14ac:dyDescent="0.3">
      <c r="A675">
        <v>683</v>
      </c>
      <c r="B675" s="2">
        <v>40574</v>
      </c>
      <c r="C675">
        <v>1</v>
      </c>
      <c r="D675">
        <v>0</v>
      </c>
      <c r="E675">
        <v>1</v>
      </c>
      <c r="F675">
        <v>18</v>
      </c>
      <c r="G675" t="b">
        <v>0</v>
      </c>
      <c r="H675">
        <v>1</v>
      </c>
      <c r="I675">
        <v>2</v>
      </c>
      <c r="J675">
        <v>0.16</v>
      </c>
      <c r="K675">
        <v>0.1515</v>
      </c>
      <c r="L675">
        <v>0.55000000000000004</v>
      </c>
      <c r="M675">
        <v>0.22389999999999999</v>
      </c>
      <c r="N675">
        <v>3</v>
      </c>
      <c r="O675">
        <v>153</v>
      </c>
      <c r="P675">
        <v>156</v>
      </c>
      <c r="Q675" t="str">
        <f>VLOOKUP(MasterData[[#This Row],[season]],[1]Lookup!$A$2:$B$5,2,FALSE)</f>
        <v>Spring</v>
      </c>
      <c r="R675" t="str">
        <f>TEXT(DATE(2026,E675,1),"mmmm")</f>
        <v>January</v>
      </c>
      <c r="S675" t="str">
        <f>IF(OR(H675=0,H675=6),"Weekend","Weekday")</f>
        <v>Weekday</v>
      </c>
      <c r="T675" s="1" t="str">
        <f>VLOOKUP(I675,[1]Lookup!$D$2:$E$5,2,FALSE)</f>
        <v>Mist / Cloudy</v>
      </c>
      <c r="U675" s="1" t="str">
        <f>IF(F675&lt;6,"Night",
IF(F675&lt;12,"Morning",
IF(F675&lt;17,"Afternoon",
IF(F675&lt;21,"Evening","Night"))))</f>
        <v>Evening</v>
      </c>
      <c r="V675" s="1" t="str">
        <f>IF(J675&lt;0.3,"Cold",
IF(J675&lt;0.6,"Pleasant","Hot"))</f>
        <v>Cold</v>
      </c>
      <c r="W675" s="1" t="str">
        <f>IF(L675&lt;0.4,"Low",
IF(L675&lt;0.7,"Medium","High"))</f>
        <v>Medium</v>
      </c>
      <c r="X675" s="1" t="str">
        <f>IF(M675&lt;0.2,"Low",
IF(M675&lt;0.4,"Medium","High"))</f>
        <v>Medium</v>
      </c>
      <c r="Y675" s="1" t="str">
        <f>IF(P675&lt;100,"Low",
IF(P675&lt;300,"Medium","High"))</f>
        <v>Medium</v>
      </c>
    </row>
    <row r="676" spans="1:25" x14ac:dyDescent="0.3">
      <c r="A676">
        <v>684</v>
      </c>
      <c r="B676" s="2">
        <v>40574</v>
      </c>
      <c r="C676">
        <v>1</v>
      </c>
      <c r="D676">
        <v>0</v>
      </c>
      <c r="E676">
        <v>1</v>
      </c>
      <c r="F676">
        <v>19</v>
      </c>
      <c r="G676" t="b">
        <v>0</v>
      </c>
      <c r="H676">
        <v>1</v>
      </c>
      <c r="I676">
        <v>1</v>
      </c>
      <c r="J676">
        <v>0.3</v>
      </c>
      <c r="K676">
        <v>0.31819999999999998</v>
      </c>
      <c r="L676">
        <v>0.61</v>
      </c>
      <c r="M676">
        <v>0.1045</v>
      </c>
      <c r="N676">
        <v>3</v>
      </c>
      <c r="O676">
        <v>108</v>
      </c>
      <c r="P676">
        <v>111</v>
      </c>
      <c r="Q676" t="str">
        <f>VLOOKUP(MasterData[[#This Row],[season]],[1]Lookup!$A$2:$B$5,2,FALSE)</f>
        <v>Spring</v>
      </c>
      <c r="R676" t="str">
        <f>TEXT(DATE(2026,E676,1),"mmmm")</f>
        <v>January</v>
      </c>
      <c r="S676" t="str">
        <f>IF(OR(H676=0,H676=6),"Weekend","Weekday")</f>
        <v>Weekday</v>
      </c>
      <c r="T676" s="1" t="str">
        <f>VLOOKUP(I676,[1]Lookup!$D$2:$E$5,2,FALSE)</f>
        <v>Clear</v>
      </c>
      <c r="U676" s="1" t="str">
        <f>IF(F676&lt;6,"Night",
IF(F676&lt;12,"Morning",
IF(F676&lt;17,"Afternoon",
IF(F676&lt;21,"Evening","Night"))))</f>
        <v>Evening</v>
      </c>
      <c r="V676" s="1" t="str">
        <f>IF(J676&lt;0.3,"Cold",
IF(J676&lt;0.6,"Pleasant","Hot"))</f>
        <v>Pleasant</v>
      </c>
      <c r="W676" s="1" t="str">
        <f>IF(L676&lt;0.4,"Low",
IF(L676&lt;0.7,"Medium","High"))</f>
        <v>Medium</v>
      </c>
      <c r="X676" s="1" t="str">
        <f>IF(M676&lt;0.2,"Low",
IF(M676&lt;0.4,"Medium","High"))</f>
        <v>Low</v>
      </c>
      <c r="Y676" s="1" t="str">
        <f>IF(P676&lt;100,"Low",
IF(P676&lt;300,"Medium","High"))</f>
        <v>Medium</v>
      </c>
    </row>
    <row r="677" spans="1:25" x14ac:dyDescent="0.3">
      <c r="A677">
        <v>685</v>
      </c>
      <c r="B677" s="2">
        <v>40574</v>
      </c>
      <c r="C677">
        <v>1</v>
      </c>
      <c r="D677">
        <v>0</v>
      </c>
      <c r="E677">
        <v>1</v>
      </c>
      <c r="F677">
        <v>20</v>
      </c>
      <c r="G677" t="b">
        <v>0</v>
      </c>
      <c r="H677">
        <v>1</v>
      </c>
      <c r="I677">
        <v>3</v>
      </c>
      <c r="J677">
        <v>0.16</v>
      </c>
      <c r="K677">
        <v>0.16669999999999999</v>
      </c>
      <c r="L677">
        <v>0.59</v>
      </c>
      <c r="M677">
        <v>0.16420000000000001</v>
      </c>
      <c r="N677">
        <v>0</v>
      </c>
      <c r="O677">
        <v>78</v>
      </c>
      <c r="P677">
        <v>78</v>
      </c>
      <c r="Q677" t="str">
        <f>VLOOKUP(MasterData[[#This Row],[season]],[1]Lookup!$A$2:$B$5,2,FALSE)</f>
        <v>Spring</v>
      </c>
      <c r="R677" t="str">
        <f>TEXT(DATE(2026,E677,1),"mmmm")</f>
        <v>January</v>
      </c>
      <c r="S677" t="str">
        <f>IF(OR(H677=0,H677=6),"Weekend","Weekday")</f>
        <v>Weekday</v>
      </c>
      <c r="T677" s="1" t="str">
        <f>VLOOKUP(I677,[1]Lookup!$D$2:$E$5,2,FALSE)</f>
        <v>Light Rain / Snow</v>
      </c>
      <c r="U677" s="1" t="str">
        <f>IF(F677&lt;6,"Night",
IF(F677&lt;12,"Morning",
IF(F677&lt;17,"Afternoon",
IF(F677&lt;21,"Evening","Night"))))</f>
        <v>Evening</v>
      </c>
      <c r="V677" s="1" t="str">
        <f>IF(J677&lt;0.3,"Cold",
IF(J677&lt;0.6,"Pleasant","Hot"))</f>
        <v>Cold</v>
      </c>
      <c r="W677" s="1" t="str">
        <f>IF(L677&lt;0.4,"Low",
IF(L677&lt;0.7,"Medium","High"))</f>
        <v>Medium</v>
      </c>
      <c r="X677" s="1" t="str">
        <f>IF(M677&lt;0.2,"Low",
IF(M677&lt;0.4,"Medium","High"))</f>
        <v>Low</v>
      </c>
      <c r="Y677" s="1" t="str">
        <f>IF(P677&lt;100,"Low",
IF(P677&lt;300,"Medium","High"))</f>
        <v>Low</v>
      </c>
    </row>
    <row r="678" spans="1:25" x14ac:dyDescent="0.3">
      <c r="A678">
        <v>686</v>
      </c>
      <c r="B678" s="2">
        <v>40574</v>
      </c>
      <c r="C678">
        <v>1</v>
      </c>
      <c r="D678">
        <v>0</v>
      </c>
      <c r="E678">
        <v>1</v>
      </c>
      <c r="F678">
        <v>21</v>
      </c>
      <c r="G678" t="b">
        <v>0</v>
      </c>
      <c r="H678">
        <v>1</v>
      </c>
      <c r="I678">
        <v>3</v>
      </c>
      <c r="J678">
        <v>0.16</v>
      </c>
      <c r="K678">
        <v>0.19700000000000001</v>
      </c>
      <c r="L678">
        <v>0.59</v>
      </c>
      <c r="M678">
        <v>8.9599999999999999E-2</v>
      </c>
      <c r="N678">
        <v>3</v>
      </c>
      <c r="O678">
        <v>53</v>
      </c>
      <c r="P678">
        <v>56</v>
      </c>
      <c r="Q678" t="str">
        <f>VLOOKUP(MasterData[[#This Row],[season]],[1]Lookup!$A$2:$B$5,2,FALSE)</f>
        <v>Spring</v>
      </c>
      <c r="R678" t="str">
        <f>TEXT(DATE(2026,E678,1),"mmmm")</f>
        <v>January</v>
      </c>
      <c r="S678" t="str">
        <f>IF(OR(H678=0,H678=6),"Weekend","Weekday")</f>
        <v>Weekday</v>
      </c>
      <c r="T678" s="1" t="str">
        <f>VLOOKUP(I678,[1]Lookup!$D$2:$E$5,2,FALSE)</f>
        <v>Light Rain / Snow</v>
      </c>
      <c r="U678" s="1" t="str">
        <f>IF(F678&lt;6,"Night",
IF(F678&lt;12,"Morning",
IF(F678&lt;17,"Afternoon",
IF(F678&lt;21,"Evening","Night"))))</f>
        <v>Night</v>
      </c>
      <c r="V678" s="1" t="str">
        <f>IF(J678&lt;0.3,"Cold",
IF(J678&lt;0.6,"Pleasant","Hot"))</f>
        <v>Cold</v>
      </c>
      <c r="W678" s="1" t="str">
        <f>IF(L678&lt;0.4,"Low",
IF(L678&lt;0.7,"Medium","High"))</f>
        <v>Medium</v>
      </c>
      <c r="X678" s="1" t="str">
        <f>IF(M678&lt;0.2,"Low",
IF(M678&lt;0.4,"Medium","High"))</f>
        <v>Low</v>
      </c>
      <c r="Y678" s="1" t="str">
        <f>IF(P678&lt;100,"Low",
IF(P678&lt;300,"Medium","High"))</f>
        <v>Low</v>
      </c>
    </row>
    <row r="679" spans="1:25" x14ac:dyDescent="0.3">
      <c r="A679">
        <v>687</v>
      </c>
      <c r="B679" s="2">
        <v>40574</v>
      </c>
      <c r="C679">
        <v>1</v>
      </c>
      <c r="D679">
        <v>0</v>
      </c>
      <c r="E679">
        <v>1</v>
      </c>
      <c r="F679">
        <v>22</v>
      </c>
      <c r="G679" t="b">
        <v>0</v>
      </c>
      <c r="H679">
        <v>1</v>
      </c>
      <c r="I679">
        <v>2</v>
      </c>
      <c r="J679">
        <v>0.16</v>
      </c>
      <c r="K679">
        <v>0.18179999999999999</v>
      </c>
      <c r="L679">
        <v>0.59</v>
      </c>
      <c r="M679">
        <v>0.1045</v>
      </c>
      <c r="N679">
        <v>0</v>
      </c>
      <c r="O679">
        <v>34</v>
      </c>
      <c r="P679">
        <v>34</v>
      </c>
      <c r="Q679" t="str">
        <f>VLOOKUP(MasterData[[#This Row],[season]],[1]Lookup!$A$2:$B$5,2,FALSE)</f>
        <v>Spring</v>
      </c>
      <c r="R679" t="str">
        <f>TEXT(DATE(2026,E679,1),"mmmm")</f>
        <v>January</v>
      </c>
      <c r="S679" t="str">
        <f>IF(OR(H679=0,H679=6),"Weekend","Weekday")</f>
        <v>Weekday</v>
      </c>
      <c r="T679" s="1" t="str">
        <f>VLOOKUP(I679,[1]Lookup!$D$2:$E$5,2,FALSE)</f>
        <v>Mist / Cloudy</v>
      </c>
      <c r="U679" s="1" t="str">
        <f>IF(F679&lt;6,"Night",
IF(F679&lt;12,"Morning",
IF(F679&lt;17,"Afternoon",
IF(F679&lt;21,"Evening","Night"))))</f>
        <v>Night</v>
      </c>
      <c r="V679" s="1" t="str">
        <f>IF(J679&lt;0.3,"Cold",
IF(J679&lt;0.6,"Pleasant","Hot"))</f>
        <v>Cold</v>
      </c>
      <c r="W679" s="1" t="str">
        <f>IF(L679&lt;0.4,"Low",
IF(L679&lt;0.7,"Medium","High"))</f>
        <v>Medium</v>
      </c>
      <c r="X679" s="1" t="str">
        <f>IF(M679&lt;0.2,"Low",
IF(M679&lt;0.4,"Medium","High"))</f>
        <v>Low</v>
      </c>
      <c r="Y679" s="1" t="str">
        <f>IF(P679&lt;100,"Low",
IF(P679&lt;300,"Medium","High"))</f>
        <v>Low</v>
      </c>
    </row>
    <row r="680" spans="1:25" x14ac:dyDescent="0.3">
      <c r="A680">
        <v>688</v>
      </c>
      <c r="B680" s="2">
        <v>40574</v>
      </c>
      <c r="C680">
        <v>1</v>
      </c>
      <c r="D680">
        <v>0</v>
      </c>
      <c r="E680">
        <v>1</v>
      </c>
      <c r="F680">
        <v>23</v>
      </c>
      <c r="G680" t="b">
        <v>0</v>
      </c>
      <c r="H680">
        <v>1</v>
      </c>
      <c r="I680">
        <v>2</v>
      </c>
      <c r="J680">
        <v>0.16</v>
      </c>
      <c r="K680">
        <v>0.19700000000000001</v>
      </c>
      <c r="L680">
        <v>0.64</v>
      </c>
      <c r="M680">
        <v>8.9599999999999999E-2</v>
      </c>
      <c r="N680">
        <v>2</v>
      </c>
      <c r="O680">
        <v>15</v>
      </c>
      <c r="P680">
        <v>17</v>
      </c>
      <c r="Q680" t="str">
        <f>VLOOKUP(MasterData[[#This Row],[season]],[1]Lookup!$A$2:$B$5,2,FALSE)</f>
        <v>Spring</v>
      </c>
      <c r="R680" t="str">
        <f>TEXT(DATE(2026,E680,1),"mmmm")</f>
        <v>January</v>
      </c>
      <c r="S680" t="str">
        <f>IF(OR(H680=0,H680=6),"Weekend","Weekday")</f>
        <v>Weekday</v>
      </c>
      <c r="T680" s="1" t="str">
        <f>VLOOKUP(I680,[1]Lookup!$D$2:$E$5,2,FALSE)</f>
        <v>Mist / Cloudy</v>
      </c>
      <c r="U680" s="1" t="str">
        <f>IF(F680&lt;6,"Night",
IF(F680&lt;12,"Morning",
IF(F680&lt;17,"Afternoon",
IF(F680&lt;21,"Evening","Night"))))</f>
        <v>Night</v>
      </c>
      <c r="V680" s="1" t="str">
        <f>IF(J680&lt;0.3,"Cold",
IF(J680&lt;0.6,"Pleasant","Hot"))</f>
        <v>Cold</v>
      </c>
      <c r="W680" s="1" t="str">
        <f>IF(L680&lt;0.4,"Low",
IF(L680&lt;0.7,"Medium","High"))</f>
        <v>Medium</v>
      </c>
      <c r="X680" s="1" t="str">
        <f>IF(M680&lt;0.2,"Low",
IF(M680&lt;0.4,"Medium","High"))</f>
        <v>Low</v>
      </c>
      <c r="Y680" s="1" t="str">
        <f>IF(P680&lt;100,"Low",
IF(P680&lt;300,"Medium","High"))</f>
        <v>Low</v>
      </c>
    </row>
    <row r="681" spans="1:25" x14ac:dyDescent="0.3">
      <c r="A681">
        <v>689</v>
      </c>
      <c r="B681" s="2">
        <v>40575</v>
      </c>
      <c r="C681">
        <v>1</v>
      </c>
      <c r="D681">
        <v>0</v>
      </c>
      <c r="E681">
        <v>2</v>
      </c>
      <c r="F681">
        <v>0</v>
      </c>
      <c r="G681" t="b">
        <v>0</v>
      </c>
      <c r="H681">
        <v>2</v>
      </c>
      <c r="I681">
        <v>2</v>
      </c>
      <c r="J681">
        <v>0.16</v>
      </c>
      <c r="K681">
        <v>0.18179999999999999</v>
      </c>
      <c r="L681">
        <v>0.64</v>
      </c>
      <c r="M681">
        <v>0.1045</v>
      </c>
      <c r="N681">
        <v>2</v>
      </c>
      <c r="O681">
        <v>6</v>
      </c>
      <c r="P681">
        <v>8</v>
      </c>
      <c r="Q681" t="str">
        <f>VLOOKUP(MasterData[[#This Row],[season]],[1]Lookup!$A$2:$B$5,2,FALSE)</f>
        <v>Spring</v>
      </c>
      <c r="R681" t="str">
        <f>TEXT(DATE(2026,E681,1),"mmmm")</f>
        <v>February</v>
      </c>
      <c r="S681" t="str">
        <f>IF(OR(H681=0,H681=6),"Weekend","Weekday")</f>
        <v>Weekday</v>
      </c>
      <c r="T681" s="1" t="str">
        <f>VLOOKUP(I681,[1]Lookup!$D$2:$E$5,2,FALSE)</f>
        <v>Mist / Cloudy</v>
      </c>
      <c r="U681" s="1" t="str">
        <f>IF(F681&lt;6,"Night",
IF(F681&lt;12,"Morning",
IF(F681&lt;17,"Afternoon",
IF(F681&lt;21,"Evening","Night"))))</f>
        <v>Night</v>
      </c>
      <c r="V681" s="1" t="str">
        <f>IF(J681&lt;0.3,"Cold",
IF(J681&lt;0.6,"Pleasant","Hot"))</f>
        <v>Cold</v>
      </c>
      <c r="W681" s="1" t="str">
        <f>IF(L681&lt;0.4,"Low",
IF(L681&lt;0.7,"Medium","High"))</f>
        <v>Medium</v>
      </c>
      <c r="X681" s="1" t="str">
        <f>IF(M681&lt;0.2,"Low",
IF(M681&lt;0.4,"Medium","High"))</f>
        <v>Low</v>
      </c>
      <c r="Y681" s="1" t="str">
        <f>IF(P681&lt;100,"Low",
IF(P681&lt;300,"Medium","High"))</f>
        <v>Low</v>
      </c>
    </row>
    <row r="682" spans="1:25" x14ac:dyDescent="0.3">
      <c r="A682">
        <v>690</v>
      </c>
      <c r="B682" s="2">
        <v>40575</v>
      </c>
      <c r="C682">
        <v>1</v>
      </c>
      <c r="D682">
        <v>0</v>
      </c>
      <c r="E682">
        <v>2</v>
      </c>
      <c r="F682">
        <v>1</v>
      </c>
      <c r="G682" t="b">
        <v>0</v>
      </c>
      <c r="H682">
        <v>2</v>
      </c>
      <c r="I682">
        <v>2</v>
      </c>
      <c r="J682">
        <v>0.16</v>
      </c>
      <c r="K682">
        <v>0.18179999999999999</v>
      </c>
      <c r="L682">
        <v>0.69</v>
      </c>
      <c r="M682">
        <v>0.1045</v>
      </c>
      <c r="N682">
        <v>0</v>
      </c>
      <c r="O682">
        <v>3</v>
      </c>
      <c r="P682">
        <v>3</v>
      </c>
      <c r="Q682" t="str">
        <f>VLOOKUP(MasterData[[#This Row],[season]],[1]Lookup!$A$2:$B$5,2,FALSE)</f>
        <v>Spring</v>
      </c>
      <c r="R682" t="str">
        <f>TEXT(DATE(2026,E682,1),"mmmm")</f>
        <v>February</v>
      </c>
      <c r="S682" t="str">
        <f>IF(OR(H682=0,H682=6),"Weekend","Weekday")</f>
        <v>Weekday</v>
      </c>
      <c r="T682" s="1" t="str">
        <f>VLOOKUP(I682,[1]Lookup!$D$2:$E$5,2,FALSE)</f>
        <v>Mist / Cloudy</v>
      </c>
      <c r="U682" s="1" t="str">
        <f>IF(F682&lt;6,"Night",
IF(F682&lt;12,"Morning",
IF(F682&lt;17,"Afternoon",
IF(F682&lt;21,"Evening","Night"))))</f>
        <v>Night</v>
      </c>
      <c r="V682" s="1" t="str">
        <f>IF(J682&lt;0.3,"Cold",
IF(J682&lt;0.6,"Pleasant","Hot"))</f>
        <v>Cold</v>
      </c>
      <c r="W682" s="1" t="str">
        <f>IF(L682&lt;0.4,"Low",
IF(L682&lt;0.7,"Medium","High"))</f>
        <v>Medium</v>
      </c>
      <c r="X682" s="1" t="str">
        <f>IF(M682&lt;0.2,"Low",
IF(M682&lt;0.4,"Medium","High"))</f>
        <v>Low</v>
      </c>
      <c r="Y682" s="1" t="str">
        <f>IF(P682&lt;100,"Low",
IF(P682&lt;300,"Medium","High"))</f>
        <v>Low</v>
      </c>
    </row>
    <row r="683" spans="1:25" x14ac:dyDescent="0.3">
      <c r="A683">
        <v>691</v>
      </c>
      <c r="B683" s="2">
        <v>40575</v>
      </c>
      <c r="C683">
        <v>1</v>
      </c>
      <c r="D683">
        <v>0</v>
      </c>
      <c r="E683">
        <v>2</v>
      </c>
      <c r="F683">
        <v>2</v>
      </c>
      <c r="G683" t="b">
        <v>0</v>
      </c>
      <c r="H683">
        <v>2</v>
      </c>
      <c r="I683">
        <v>2</v>
      </c>
      <c r="J683">
        <v>0.16</v>
      </c>
      <c r="K683">
        <v>0.2273</v>
      </c>
      <c r="L683">
        <v>0.69</v>
      </c>
      <c r="M683">
        <v>0</v>
      </c>
      <c r="N683">
        <v>0</v>
      </c>
      <c r="O683">
        <v>2</v>
      </c>
      <c r="P683">
        <v>2</v>
      </c>
      <c r="Q683" t="str">
        <f>VLOOKUP(MasterData[[#This Row],[season]],[1]Lookup!$A$2:$B$5,2,FALSE)</f>
        <v>Spring</v>
      </c>
      <c r="R683" t="str">
        <f>TEXT(DATE(2026,E683,1),"mmmm")</f>
        <v>February</v>
      </c>
      <c r="S683" t="str">
        <f>IF(OR(H683=0,H683=6),"Weekend","Weekday")</f>
        <v>Weekday</v>
      </c>
      <c r="T683" s="1" t="str">
        <f>VLOOKUP(I683,[1]Lookup!$D$2:$E$5,2,FALSE)</f>
        <v>Mist / Cloudy</v>
      </c>
      <c r="U683" s="1" t="str">
        <f>IF(F683&lt;6,"Night",
IF(F683&lt;12,"Morning",
IF(F683&lt;17,"Afternoon",
IF(F683&lt;21,"Evening","Night"))))</f>
        <v>Night</v>
      </c>
      <c r="V683" s="1" t="str">
        <f>IF(J683&lt;0.3,"Cold",
IF(J683&lt;0.6,"Pleasant","Hot"))</f>
        <v>Cold</v>
      </c>
      <c r="W683" s="1" t="str">
        <f>IF(L683&lt;0.4,"Low",
IF(L683&lt;0.7,"Medium","High"))</f>
        <v>Medium</v>
      </c>
      <c r="X683" s="1" t="str">
        <f>IF(M683&lt;0.2,"Low",
IF(M683&lt;0.4,"Medium","High"))</f>
        <v>Low</v>
      </c>
      <c r="Y683" s="1" t="str">
        <f>IF(P683&lt;100,"Low",
IF(P683&lt;300,"Medium","High"))</f>
        <v>Low</v>
      </c>
    </row>
    <row r="684" spans="1:25" x14ac:dyDescent="0.3">
      <c r="A684">
        <v>692</v>
      </c>
      <c r="B684" s="2">
        <v>40575</v>
      </c>
      <c r="C684">
        <v>1</v>
      </c>
      <c r="D684">
        <v>0</v>
      </c>
      <c r="E684">
        <v>2</v>
      </c>
      <c r="F684">
        <v>3</v>
      </c>
      <c r="G684" t="b">
        <v>0</v>
      </c>
      <c r="H684">
        <v>2</v>
      </c>
      <c r="I684">
        <v>2</v>
      </c>
      <c r="J684">
        <v>0.16</v>
      </c>
      <c r="K684">
        <v>0.2273</v>
      </c>
      <c r="L684">
        <v>0.69</v>
      </c>
      <c r="M684">
        <v>0</v>
      </c>
      <c r="N684">
        <v>0</v>
      </c>
      <c r="O684">
        <v>2</v>
      </c>
      <c r="P684">
        <v>2</v>
      </c>
      <c r="Q684" t="str">
        <f>VLOOKUP(MasterData[[#This Row],[season]],[1]Lookup!$A$2:$B$5,2,FALSE)</f>
        <v>Spring</v>
      </c>
      <c r="R684" t="str">
        <f>TEXT(DATE(2026,E684,1),"mmmm")</f>
        <v>February</v>
      </c>
      <c r="S684" t="str">
        <f>IF(OR(H684=0,H684=6),"Weekend","Weekday")</f>
        <v>Weekday</v>
      </c>
      <c r="T684" s="1" t="str">
        <f>VLOOKUP(I684,[1]Lookup!$D$2:$E$5,2,FALSE)</f>
        <v>Mist / Cloudy</v>
      </c>
      <c r="U684" s="1" t="str">
        <f>IF(F684&lt;6,"Night",
IF(F684&lt;12,"Morning",
IF(F684&lt;17,"Afternoon",
IF(F684&lt;21,"Evening","Night"))))</f>
        <v>Night</v>
      </c>
      <c r="V684" s="1" t="str">
        <f>IF(J684&lt;0.3,"Cold",
IF(J684&lt;0.6,"Pleasant","Hot"))</f>
        <v>Cold</v>
      </c>
      <c r="W684" s="1" t="str">
        <f>IF(L684&lt;0.4,"Low",
IF(L684&lt;0.7,"Medium","High"))</f>
        <v>Medium</v>
      </c>
      <c r="X684" s="1" t="str">
        <f>IF(M684&lt;0.2,"Low",
IF(M684&lt;0.4,"Medium","High"))</f>
        <v>Low</v>
      </c>
      <c r="Y684" s="1" t="str">
        <f>IF(P684&lt;100,"Low",
IF(P684&lt;300,"Medium","High"))</f>
        <v>Low</v>
      </c>
    </row>
    <row r="685" spans="1:25" x14ac:dyDescent="0.3">
      <c r="A685">
        <v>693</v>
      </c>
      <c r="B685" s="2">
        <v>40575</v>
      </c>
      <c r="C685">
        <v>1</v>
      </c>
      <c r="D685">
        <v>0</v>
      </c>
      <c r="E685">
        <v>2</v>
      </c>
      <c r="F685">
        <v>5</v>
      </c>
      <c r="G685" t="b">
        <v>0</v>
      </c>
      <c r="H685">
        <v>2</v>
      </c>
      <c r="I685">
        <v>3</v>
      </c>
      <c r="J685">
        <v>0.14000000000000001</v>
      </c>
      <c r="K685">
        <v>0.21210000000000001</v>
      </c>
      <c r="L685">
        <v>0.93</v>
      </c>
      <c r="M685">
        <v>0</v>
      </c>
      <c r="N685">
        <v>0</v>
      </c>
      <c r="O685">
        <v>3</v>
      </c>
      <c r="P685">
        <v>3</v>
      </c>
      <c r="Q685" t="str">
        <f>VLOOKUP(MasterData[[#This Row],[season]],[1]Lookup!$A$2:$B$5,2,FALSE)</f>
        <v>Spring</v>
      </c>
      <c r="R685" t="str">
        <f>TEXT(DATE(2026,E685,1),"mmmm")</f>
        <v>February</v>
      </c>
      <c r="S685" t="str">
        <f>IF(OR(H685=0,H685=6),"Weekend","Weekday")</f>
        <v>Weekday</v>
      </c>
      <c r="T685" s="1" t="str">
        <f>VLOOKUP(I685,[1]Lookup!$D$2:$E$5,2,FALSE)</f>
        <v>Light Rain / Snow</v>
      </c>
      <c r="U685" s="1" t="str">
        <f>IF(F685&lt;6,"Night",
IF(F685&lt;12,"Morning",
IF(F685&lt;17,"Afternoon",
IF(F685&lt;21,"Evening","Night"))))</f>
        <v>Night</v>
      </c>
      <c r="V685" s="1" t="str">
        <f>IF(J685&lt;0.3,"Cold",
IF(J685&lt;0.6,"Pleasant","Hot"))</f>
        <v>Cold</v>
      </c>
      <c r="W685" s="1" t="str">
        <f>IF(L685&lt;0.4,"Low",
IF(L685&lt;0.7,"Medium","High"))</f>
        <v>High</v>
      </c>
      <c r="X685" s="1" t="str">
        <f>IF(M685&lt;0.2,"Low",
IF(M685&lt;0.4,"Medium","High"))</f>
        <v>Low</v>
      </c>
      <c r="Y685" s="1" t="str">
        <f>IF(P685&lt;100,"Low",
IF(P685&lt;300,"Medium","High"))</f>
        <v>Low</v>
      </c>
    </row>
    <row r="686" spans="1:25" x14ac:dyDescent="0.3">
      <c r="A686">
        <v>694</v>
      </c>
      <c r="B686" s="2">
        <v>40575</v>
      </c>
      <c r="C686">
        <v>1</v>
      </c>
      <c r="D686">
        <v>0</v>
      </c>
      <c r="E686">
        <v>2</v>
      </c>
      <c r="F686">
        <v>6</v>
      </c>
      <c r="G686" t="b">
        <v>0</v>
      </c>
      <c r="H686">
        <v>2</v>
      </c>
      <c r="I686">
        <v>3</v>
      </c>
      <c r="J686">
        <v>0.14000000000000001</v>
      </c>
      <c r="K686">
        <v>0.21210000000000001</v>
      </c>
      <c r="L686">
        <v>0.93</v>
      </c>
      <c r="M686">
        <v>0</v>
      </c>
      <c r="N686">
        <v>0</v>
      </c>
      <c r="O686">
        <v>22</v>
      </c>
      <c r="P686">
        <v>22</v>
      </c>
      <c r="Q686" t="str">
        <f>VLOOKUP(MasterData[[#This Row],[season]],[1]Lookup!$A$2:$B$5,2,FALSE)</f>
        <v>Spring</v>
      </c>
      <c r="R686" t="str">
        <f>TEXT(DATE(2026,E686,1),"mmmm")</f>
        <v>February</v>
      </c>
      <c r="S686" t="str">
        <f>IF(OR(H686=0,H686=6),"Weekend","Weekday")</f>
        <v>Weekday</v>
      </c>
      <c r="T686" s="1" t="str">
        <f>VLOOKUP(I686,[1]Lookup!$D$2:$E$5,2,FALSE)</f>
        <v>Light Rain / Snow</v>
      </c>
      <c r="U686" s="1" t="str">
        <f>IF(F686&lt;6,"Night",
IF(F686&lt;12,"Morning",
IF(F686&lt;17,"Afternoon",
IF(F686&lt;21,"Evening","Night"))))</f>
        <v>Morning</v>
      </c>
      <c r="V686" s="1" t="str">
        <f>IF(J686&lt;0.3,"Cold",
IF(J686&lt;0.6,"Pleasant","Hot"))</f>
        <v>Cold</v>
      </c>
      <c r="W686" s="1" t="str">
        <f>IF(L686&lt;0.4,"Low",
IF(L686&lt;0.7,"Medium","High"))</f>
        <v>High</v>
      </c>
      <c r="X686" s="1" t="str">
        <f>IF(M686&lt;0.2,"Low",
IF(M686&lt;0.4,"Medium","High"))</f>
        <v>Low</v>
      </c>
      <c r="Y686" s="1" t="str">
        <f>IF(P686&lt;100,"Low",
IF(P686&lt;300,"Medium","High"))</f>
        <v>Low</v>
      </c>
    </row>
    <row r="687" spans="1:25" x14ac:dyDescent="0.3">
      <c r="A687">
        <v>695</v>
      </c>
      <c r="B687" s="2">
        <v>40575</v>
      </c>
      <c r="C687">
        <v>1</v>
      </c>
      <c r="D687">
        <v>0</v>
      </c>
      <c r="E687">
        <v>2</v>
      </c>
      <c r="F687">
        <v>7</v>
      </c>
      <c r="G687" t="b">
        <v>0</v>
      </c>
      <c r="H687">
        <v>2</v>
      </c>
      <c r="I687">
        <v>3</v>
      </c>
      <c r="J687">
        <v>0.16</v>
      </c>
      <c r="K687">
        <v>0.2273</v>
      </c>
      <c r="L687">
        <v>0.93</v>
      </c>
      <c r="M687">
        <v>0</v>
      </c>
      <c r="N687">
        <v>0</v>
      </c>
      <c r="O687">
        <v>52</v>
      </c>
      <c r="P687">
        <v>52</v>
      </c>
      <c r="Q687" t="str">
        <f>VLOOKUP(MasterData[[#This Row],[season]],[1]Lookup!$A$2:$B$5,2,FALSE)</f>
        <v>Spring</v>
      </c>
      <c r="R687" t="str">
        <f>TEXT(DATE(2026,E687,1),"mmmm")</f>
        <v>February</v>
      </c>
      <c r="S687" t="str">
        <f>IF(OR(H687=0,H687=6),"Weekend","Weekday")</f>
        <v>Weekday</v>
      </c>
      <c r="T687" s="1" t="str">
        <f>VLOOKUP(I687,[1]Lookup!$D$2:$E$5,2,FALSE)</f>
        <v>Light Rain / Snow</v>
      </c>
      <c r="U687" s="1" t="str">
        <f>IF(F687&lt;6,"Night",
IF(F687&lt;12,"Morning",
IF(F687&lt;17,"Afternoon",
IF(F687&lt;21,"Evening","Night"))))</f>
        <v>Morning</v>
      </c>
      <c r="V687" s="1" t="str">
        <f>IF(J687&lt;0.3,"Cold",
IF(J687&lt;0.6,"Pleasant","Hot"))</f>
        <v>Cold</v>
      </c>
      <c r="W687" s="1" t="str">
        <f>IF(L687&lt;0.4,"Low",
IF(L687&lt;0.7,"Medium","High"))</f>
        <v>High</v>
      </c>
      <c r="X687" s="1" t="str">
        <f>IF(M687&lt;0.2,"Low",
IF(M687&lt;0.4,"Medium","High"))</f>
        <v>Low</v>
      </c>
      <c r="Y687" s="1" t="str">
        <f>IF(P687&lt;100,"Low",
IF(P687&lt;300,"Medium","High"))</f>
        <v>Low</v>
      </c>
    </row>
    <row r="688" spans="1:25" x14ac:dyDescent="0.3">
      <c r="A688">
        <v>696</v>
      </c>
      <c r="B688" s="2">
        <v>40575</v>
      </c>
      <c r="C688">
        <v>1</v>
      </c>
      <c r="D688">
        <v>0</v>
      </c>
      <c r="E688">
        <v>2</v>
      </c>
      <c r="F688">
        <v>8</v>
      </c>
      <c r="G688" t="b">
        <v>0</v>
      </c>
      <c r="H688">
        <v>2</v>
      </c>
      <c r="I688">
        <v>3</v>
      </c>
      <c r="J688">
        <v>0.16</v>
      </c>
      <c r="K688">
        <v>0.2273</v>
      </c>
      <c r="L688">
        <v>0.93</v>
      </c>
      <c r="M688">
        <v>0</v>
      </c>
      <c r="N688">
        <v>3</v>
      </c>
      <c r="O688">
        <v>132</v>
      </c>
      <c r="P688">
        <v>135</v>
      </c>
      <c r="Q688" t="str">
        <f>VLOOKUP(MasterData[[#This Row],[season]],[1]Lookup!$A$2:$B$5,2,FALSE)</f>
        <v>Spring</v>
      </c>
      <c r="R688" t="str">
        <f>TEXT(DATE(2026,E688,1),"mmmm")</f>
        <v>February</v>
      </c>
      <c r="S688" t="str">
        <f>IF(OR(H688=0,H688=6),"Weekend","Weekday")</f>
        <v>Weekday</v>
      </c>
      <c r="T688" s="1" t="str">
        <f>VLOOKUP(I688,[1]Lookup!$D$2:$E$5,2,FALSE)</f>
        <v>Light Rain / Snow</v>
      </c>
      <c r="U688" s="1" t="str">
        <f>IF(F688&lt;6,"Night",
IF(F688&lt;12,"Morning",
IF(F688&lt;17,"Afternoon",
IF(F688&lt;21,"Evening","Night"))))</f>
        <v>Morning</v>
      </c>
      <c r="V688" s="1" t="str">
        <f>IF(J688&lt;0.3,"Cold",
IF(J688&lt;0.6,"Pleasant","Hot"))</f>
        <v>Cold</v>
      </c>
      <c r="W688" s="1" t="str">
        <f>IF(L688&lt;0.4,"Low",
IF(L688&lt;0.7,"Medium","High"))</f>
        <v>High</v>
      </c>
      <c r="X688" s="1" t="str">
        <f>IF(M688&lt;0.2,"Low",
IF(M688&lt;0.4,"Medium","High"))</f>
        <v>Low</v>
      </c>
      <c r="Y688" s="1" t="str">
        <f>IF(P688&lt;100,"Low",
IF(P688&lt;300,"Medium","High"))</f>
        <v>Medium</v>
      </c>
    </row>
    <row r="689" spans="1:25" x14ac:dyDescent="0.3">
      <c r="A689">
        <v>697</v>
      </c>
      <c r="B689" s="2">
        <v>40575</v>
      </c>
      <c r="C689">
        <v>1</v>
      </c>
      <c r="D689">
        <v>0</v>
      </c>
      <c r="E689">
        <v>2</v>
      </c>
      <c r="F689">
        <v>9</v>
      </c>
      <c r="G689" t="b">
        <v>0</v>
      </c>
      <c r="H689">
        <v>2</v>
      </c>
      <c r="I689">
        <v>2</v>
      </c>
      <c r="J689">
        <v>0.16</v>
      </c>
      <c r="K689">
        <v>0.2273</v>
      </c>
      <c r="L689">
        <v>0.93</v>
      </c>
      <c r="M689">
        <v>0</v>
      </c>
      <c r="N689">
        <v>2</v>
      </c>
      <c r="O689">
        <v>114</v>
      </c>
      <c r="P689">
        <v>116</v>
      </c>
      <c r="Q689" t="str">
        <f>VLOOKUP(MasterData[[#This Row],[season]],[1]Lookup!$A$2:$B$5,2,FALSE)</f>
        <v>Spring</v>
      </c>
      <c r="R689" t="str">
        <f>TEXT(DATE(2026,E689,1),"mmmm")</f>
        <v>February</v>
      </c>
      <c r="S689" t="str">
        <f>IF(OR(H689=0,H689=6),"Weekend","Weekday")</f>
        <v>Weekday</v>
      </c>
      <c r="T689" s="1" t="str">
        <f>VLOOKUP(I689,[1]Lookup!$D$2:$E$5,2,FALSE)</f>
        <v>Mist / Cloudy</v>
      </c>
      <c r="U689" s="1" t="str">
        <f>IF(F689&lt;6,"Night",
IF(F689&lt;12,"Morning",
IF(F689&lt;17,"Afternoon",
IF(F689&lt;21,"Evening","Night"))))</f>
        <v>Morning</v>
      </c>
      <c r="V689" s="1" t="str">
        <f>IF(J689&lt;0.3,"Cold",
IF(J689&lt;0.6,"Pleasant","Hot"))</f>
        <v>Cold</v>
      </c>
      <c r="W689" s="1" t="str">
        <f>IF(L689&lt;0.4,"Low",
IF(L689&lt;0.7,"Medium","High"))</f>
        <v>High</v>
      </c>
      <c r="X689" s="1" t="str">
        <f>IF(M689&lt;0.2,"Low",
IF(M689&lt;0.4,"Medium","High"))</f>
        <v>Low</v>
      </c>
      <c r="Y689" s="1" t="str">
        <f>IF(P689&lt;100,"Low",
IF(P689&lt;300,"Medium","High"))</f>
        <v>Medium</v>
      </c>
    </row>
    <row r="690" spans="1:25" x14ac:dyDescent="0.3">
      <c r="A690">
        <v>698</v>
      </c>
      <c r="B690" s="2">
        <v>40575</v>
      </c>
      <c r="C690">
        <v>1</v>
      </c>
      <c r="D690">
        <v>0</v>
      </c>
      <c r="E690">
        <v>2</v>
      </c>
      <c r="F690">
        <v>10</v>
      </c>
      <c r="G690" t="b">
        <v>0</v>
      </c>
      <c r="H690">
        <v>2</v>
      </c>
      <c r="I690">
        <v>2</v>
      </c>
      <c r="J690">
        <v>0.16</v>
      </c>
      <c r="K690">
        <v>0.2273</v>
      </c>
      <c r="L690">
        <v>0.93</v>
      </c>
      <c r="M690">
        <v>0</v>
      </c>
      <c r="N690">
        <v>0</v>
      </c>
      <c r="O690">
        <v>47</v>
      </c>
      <c r="P690">
        <v>47</v>
      </c>
      <c r="Q690" t="str">
        <f>VLOOKUP(MasterData[[#This Row],[season]],[1]Lookup!$A$2:$B$5,2,FALSE)</f>
        <v>Spring</v>
      </c>
      <c r="R690" t="str">
        <f>TEXT(DATE(2026,E690,1),"mmmm")</f>
        <v>February</v>
      </c>
      <c r="S690" t="str">
        <f>IF(OR(H690=0,H690=6),"Weekend","Weekday")</f>
        <v>Weekday</v>
      </c>
      <c r="T690" s="1" t="str">
        <f>VLOOKUP(I690,[1]Lookup!$D$2:$E$5,2,FALSE)</f>
        <v>Mist / Cloudy</v>
      </c>
      <c r="U690" s="1" t="str">
        <f>IF(F690&lt;6,"Night",
IF(F690&lt;12,"Morning",
IF(F690&lt;17,"Afternoon",
IF(F690&lt;21,"Evening","Night"))))</f>
        <v>Morning</v>
      </c>
      <c r="V690" s="1" t="str">
        <f>IF(J690&lt;0.3,"Cold",
IF(J690&lt;0.6,"Pleasant","Hot"))</f>
        <v>Cold</v>
      </c>
      <c r="W690" s="1" t="str">
        <f>IF(L690&lt;0.4,"Low",
IF(L690&lt;0.7,"Medium","High"))</f>
        <v>High</v>
      </c>
      <c r="X690" s="1" t="str">
        <f>IF(M690&lt;0.2,"Low",
IF(M690&lt;0.4,"Medium","High"))</f>
        <v>Low</v>
      </c>
      <c r="Y690" s="1" t="str">
        <f>IF(P690&lt;100,"Low",
IF(P690&lt;300,"Medium","High"))</f>
        <v>Low</v>
      </c>
    </row>
    <row r="691" spans="1:25" x14ac:dyDescent="0.3">
      <c r="A691">
        <v>699</v>
      </c>
      <c r="B691" s="2">
        <v>40575</v>
      </c>
      <c r="C691">
        <v>1</v>
      </c>
      <c r="D691">
        <v>0</v>
      </c>
      <c r="E691">
        <v>2</v>
      </c>
      <c r="F691">
        <v>11</v>
      </c>
      <c r="G691" t="b">
        <v>0</v>
      </c>
      <c r="H691">
        <v>2</v>
      </c>
      <c r="I691">
        <v>2</v>
      </c>
      <c r="J691">
        <v>0.18</v>
      </c>
      <c r="K691">
        <v>0.2424</v>
      </c>
      <c r="L691">
        <v>0.86</v>
      </c>
      <c r="M691">
        <v>0</v>
      </c>
      <c r="N691">
        <v>2</v>
      </c>
      <c r="O691">
        <v>49</v>
      </c>
      <c r="P691">
        <v>51</v>
      </c>
      <c r="Q691" t="str">
        <f>VLOOKUP(MasterData[[#This Row],[season]],[1]Lookup!$A$2:$B$5,2,FALSE)</f>
        <v>Spring</v>
      </c>
      <c r="R691" t="str">
        <f>TEXT(DATE(2026,E691,1),"mmmm")</f>
        <v>February</v>
      </c>
      <c r="S691" t="str">
        <f>IF(OR(H691=0,H691=6),"Weekend","Weekday")</f>
        <v>Weekday</v>
      </c>
      <c r="T691" s="1" t="str">
        <f>VLOOKUP(I691,[1]Lookup!$D$2:$E$5,2,FALSE)</f>
        <v>Mist / Cloudy</v>
      </c>
      <c r="U691" s="1" t="str">
        <f>IF(F691&lt;6,"Night",
IF(F691&lt;12,"Morning",
IF(F691&lt;17,"Afternoon",
IF(F691&lt;21,"Evening","Night"))))</f>
        <v>Morning</v>
      </c>
      <c r="V691" s="1" t="str">
        <f>IF(J691&lt;0.3,"Cold",
IF(J691&lt;0.6,"Pleasant","Hot"))</f>
        <v>Cold</v>
      </c>
      <c r="W691" s="1" t="str">
        <f>IF(L691&lt;0.4,"Low",
IF(L691&lt;0.7,"Medium","High"))</f>
        <v>High</v>
      </c>
      <c r="X691" s="1" t="str">
        <f>IF(M691&lt;0.2,"Low",
IF(M691&lt;0.4,"Medium","High"))</f>
        <v>Low</v>
      </c>
      <c r="Y691" s="1" t="str">
        <f>IF(P691&lt;100,"Low",
IF(P691&lt;300,"Medium","High"))</f>
        <v>Low</v>
      </c>
    </row>
    <row r="692" spans="1:25" x14ac:dyDescent="0.3">
      <c r="A692">
        <v>700</v>
      </c>
      <c r="B692" s="2">
        <v>40575</v>
      </c>
      <c r="C692">
        <v>1</v>
      </c>
      <c r="D692">
        <v>0</v>
      </c>
      <c r="E692">
        <v>2</v>
      </c>
      <c r="F692">
        <v>12</v>
      </c>
      <c r="G692" t="b">
        <v>0</v>
      </c>
      <c r="H692">
        <v>2</v>
      </c>
      <c r="I692">
        <v>2</v>
      </c>
      <c r="J692">
        <v>0.2</v>
      </c>
      <c r="K692">
        <v>0.2576</v>
      </c>
      <c r="L692">
        <v>0.86</v>
      </c>
      <c r="M692">
        <v>0</v>
      </c>
      <c r="N692">
        <v>2</v>
      </c>
      <c r="O692">
        <v>53</v>
      </c>
      <c r="P692">
        <v>55</v>
      </c>
      <c r="Q692" t="str">
        <f>VLOOKUP(MasterData[[#This Row],[season]],[1]Lookup!$A$2:$B$5,2,FALSE)</f>
        <v>Spring</v>
      </c>
      <c r="R692" t="str">
        <f>TEXT(DATE(2026,E692,1),"mmmm")</f>
        <v>February</v>
      </c>
      <c r="S692" t="str">
        <f>IF(OR(H692=0,H692=6),"Weekend","Weekday")</f>
        <v>Weekday</v>
      </c>
      <c r="T692" s="1" t="str">
        <f>VLOOKUP(I692,[1]Lookup!$D$2:$E$5,2,FALSE)</f>
        <v>Mist / Cloudy</v>
      </c>
      <c r="U692" s="1" t="str">
        <f>IF(F692&lt;6,"Night",
IF(F692&lt;12,"Morning",
IF(F692&lt;17,"Afternoon",
IF(F692&lt;21,"Evening","Night"))))</f>
        <v>Afternoon</v>
      </c>
      <c r="V692" s="1" t="str">
        <f>IF(J692&lt;0.3,"Cold",
IF(J692&lt;0.6,"Pleasant","Hot"))</f>
        <v>Cold</v>
      </c>
      <c r="W692" s="1" t="str">
        <f>IF(L692&lt;0.4,"Low",
IF(L692&lt;0.7,"Medium","High"))</f>
        <v>High</v>
      </c>
      <c r="X692" s="1" t="str">
        <f>IF(M692&lt;0.2,"Low",
IF(M692&lt;0.4,"Medium","High"))</f>
        <v>Low</v>
      </c>
      <c r="Y692" s="1" t="str">
        <f>IF(P692&lt;100,"Low",
IF(P692&lt;300,"Medium","High"))</f>
        <v>Low</v>
      </c>
    </row>
    <row r="693" spans="1:25" x14ac:dyDescent="0.3">
      <c r="A693">
        <v>701</v>
      </c>
      <c r="B693" s="2">
        <v>40575</v>
      </c>
      <c r="C693">
        <v>1</v>
      </c>
      <c r="D693">
        <v>0</v>
      </c>
      <c r="E693">
        <v>2</v>
      </c>
      <c r="F693">
        <v>13</v>
      </c>
      <c r="G693" t="b">
        <v>0</v>
      </c>
      <c r="H693">
        <v>2</v>
      </c>
      <c r="I693">
        <v>2</v>
      </c>
      <c r="J693">
        <v>0.2</v>
      </c>
      <c r="K693">
        <v>0.2576</v>
      </c>
      <c r="L693">
        <v>0.86</v>
      </c>
      <c r="M693">
        <v>0</v>
      </c>
      <c r="N693">
        <v>3</v>
      </c>
      <c r="O693">
        <v>49</v>
      </c>
      <c r="P693">
        <v>52</v>
      </c>
      <c r="Q693" t="str">
        <f>VLOOKUP(MasterData[[#This Row],[season]],[1]Lookup!$A$2:$B$5,2,FALSE)</f>
        <v>Spring</v>
      </c>
      <c r="R693" t="str">
        <f>TEXT(DATE(2026,E693,1),"mmmm")</f>
        <v>February</v>
      </c>
      <c r="S693" t="str">
        <f>IF(OR(H693=0,H693=6),"Weekend","Weekday")</f>
        <v>Weekday</v>
      </c>
      <c r="T693" s="1" t="str">
        <f>VLOOKUP(I693,[1]Lookup!$D$2:$E$5,2,FALSE)</f>
        <v>Mist / Cloudy</v>
      </c>
      <c r="U693" s="1" t="str">
        <f>IF(F693&lt;6,"Night",
IF(F693&lt;12,"Morning",
IF(F693&lt;17,"Afternoon",
IF(F693&lt;21,"Evening","Night"))))</f>
        <v>Afternoon</v>
      </c>
      <c r="V693" s="1" t="str">
        <f>IF(J693&lt;0.3,"Cold",
IF(J693&lt;0.6,"Pleasant","Hot"))</f>
        <v>Cold</v>
      </c>
      <c r="W693" s="1" t="str">
        <f>IF(L693&lt;0.4,"Low",
IF(L693&lt;0.7,"Medium","High"))</f>
        <v>High</v>
      </c>
      <c r="X693" s="1" t="str">
        <f>IF(M693&lt;0.2,"Low",
IF(M693&lt;0.4,"Medium","High"))</f>
        <v>Low</v>
      </c>
      <c r="Y693" s="1" t="str">
        <f>IF(P693&lt;100,"Low",
IF(P693&lt;300,"Medium","High"))</f>
        <v>Low</v>
      </c>
    </row>
    <row r="694" spans="1:25" x14ac:dyDescent="0.3">
      <c r="A694">
        <v>702</v>
      </c>
      <c r="B694" s="2">
        <v>40575</v>
      </c>
      <c r="C694">
        <v>1</v>
      </c>
      <c r="D694">
        <v>0</v>
      </c>
      <c r="E694">
        <v>2</v>
      </c>
      <c r="F694">
        <v>14</v>
      </c>
      <c r="G694" t="b">
        <v>0</v>
      </c>
      <c r="H694">
        <v>2</v>
      </c>
      <c r="I694">
        <v>2</v>
      </c>
      <c r="J694">
        <v>0.22</v>
      </c>
      <c r="K694">
        <v>0.2576</v>
      </c>
      <c r="L694">
        <v>0.8</v>
      </c>
      <c r="M694">
        <v>8.9599999999999999E-2</v>
      </c>
      <c r="N694">
        <v>5</v>
      </c>
      <c r="O694">
        <v>49</v>
      </c>
      <c r="P694">
        <v>54</v>
      </c>
      <c r="Q694" t="str">
        <f>VLOOKUP(MasterData[[#This Row],[season]],[1]Lookup!$A$2:$B$5,2,FALSE)</f>
        <v>Spring</v>
      </c>
      <c r="R694" t="str">
        <f>TEXT(DATE(2026,E694,1),"mmmm")</f>
        <v>February</v>
      </c>
      <c r="S694" t="str">
        <f>IF(OR(H694=0,H694=6),"Weekend","Weekday")</f>
        <v>Weekday</v>
      </c>
      <c r="T694" s="1" t="str">
        <f>VLOOKUP(I694,[1]Lookup!$D$2:$E$5,2,FALSE)</f>
        <v>Mist / Cloudy</v>
      </c>
      <c r="U694" s="1" t="str">
        <f>IF(F694&lt;6,"Night",
IF(F694&lt;12,"Morning",
IF(F694&lt;17,"Afternoon",
IF(F694&lt;21,"Evening","Night"))))</f>
        <v>Afternoon</v>
      </c>
      <c r="V694" s="1" t="str">
        <f>IF(J694&lt;0.3,"Cold",
IF(J694&lt;0.6,"Pleasant","Hot"))</f>
        <v>Cold</v>
      </c>
      <c r="W694" s="1" t="str">
        <f>IF(L694&lt;0.4,"Low",
IF(L694&lt;0.7,"Medium","High"))</f>
        <v>High</v>
      </c>
      <c r="X694" s="1" t="str">
        <f>IF(M694&lt;0.2,"Low",
IF(M694&lt;0.4,"Medium","High"))</f>
        <v>Low</v>
      </c>
      <c r="Y694" s="1" t="str">
        <f>IF(P694&lt;100,"Low",
IF(P694&lt;300,"Medium","High"))</f>
        <v>Low</v>
      </c>
    </row>
    <row r="695" spans="1:25" x14ac:dyDescent="0.3">
      <c r="A695">
        <v>703</v>
      </c>
      <c r="B695" s="2">
        <v>40575</v>
      </c>
      <c r="C695">
        <v>1</v>
      </c>
      <c r="D695">
        <v>0</v>
      </c>
      <c r="E695">
        <v>2</v>
      </c>
      <c r="F695">
        <v>15</v>
      </c>
      <c r="G695" t="b">
        <v>0</v>
      </c>
      <c r="H695">
        <v>2</v>
      </c>
      <c r="I695">
        <v>2</v>
      </c>
      <c r="J695">
        <v>0.24</v>
      </c>
      <c r="K695">
        <v>0.28789999999999999</v>
      </c>
      <c r="L695">
        <v>0.75</v>
      </c>
      <c r="M695">
        <v>0</v>
      </c>
      <c r="N695">
        <v>7</v>
      </c>
      <c r="O695">
        <v>45</v>
      </c>
      <c r="P695">
        <v>52</v>
      </c>
      <c r="Q695" t="str">
        <f>VLOOKUP(MasterData[[#This Row],[season]],[1]Lookup!$A$2:$B$5,2,FALSE)</f>
        <v>Spring</v>
      </c>
      <c r="R695" t="str">
        <f>TEXT(DATE(2026,E695,1),"mmmm")</f>
        <v>February</v>
      </c>
      <c r="S695" t="str">
        <f>IF(OR(H695=0,H695=6),"Weekend","Weekday")</f>
        <v>Weekday</v>
      </c>
      <c r="T695" s="1" t="str">
        <f>VLOOKUP(I695,[1]Lookup!$D$2:$E$5,2,FALSE)</f>
        <v>Mist / Cloudy</v>
      </c>
      <c r="U695" s="1" t="str">
        <f>IF(F695&lt;6,"Night",
IF(F695&lt;12,"Morning",
IF(F695&lt;17,"Afternoon",
IF(F695&lt;21,"Evening","Night"))))</f>
        <v>Afternoon</v>
      </c>
      <c r="V695" s="1" t="str">
        <f>IF(J695&lt;0.3,"Cold",
IF(J695&lt;0.6,"Pleasant","Hot"))</f>
        <v>Cold</v>
      </c>
      <c r="W695" s="1" t="str">
        <f>IF(L695&lt;0.4,"Low",
IF(L695&lt;0.7,"Medium","High"))</f>
        <v>High</v>
      </c>
      <c r="X695" s="1" t="str">
        <f>IF(M695&lt;0.2,"Low",
IF(M695&lt;0.4,"Medium","High"))</f>
        <v>Low</v>
      </c>
      <c r="Y695" s="1" t="str">
        <f>IF(P695&lt;100,"Low",
IF(P695&lt;300,"Medium","High"))</f>
        <v>Low</v>
      </c>
    </row>
    <row r="696" spans="1:25" x14ac:dyDescent="0.3">
      <c r="A696">
        <v>704</v>
      </c>
      <c r="B696" s="2">
        <v>40575</v>
      </c>
      <c r="C696">
        <v>1</v>
      </c>
      <c r="D696">
        <v>0</v>
      </c>
      <c r="E696">
        <v>2</v>
      </c>
      <c r="F696">
        <v>16</v>
      </c>
      <c r="G696" t="b">
        <v>0</v>
      </c>
      <c r="H696">
        <v>2</v>
      </c>
      <c r="I696">
        <v>2</v>
      </c>
      <c r="J696">
        <v>0.24</v>
      </c>
      <c r="K696">
        <v>0.2424</v>
      </c>
      <c r="L696">
        <v>0.75</v>
      </c>
      <c r="M696">
        <v>0.1343</v>
      </c>
      <c r="N696">
        <v>3</v>
      </c>
      <c r="O696">
        <v>61</v>
      </c>
      <c r="P696">
        <v>64</v>
      </c>
      <c r="Q696" t="str">
        <f>VLOOKUP(MasterData[[#This Row],[season]],[1]Lookup!$A$2:$B$5,2,FALSE)</f>
        <v>Spring</v>
      </c>
      <c r="R696" t="str">
        <f>TEXT(DATE(2026,E696,1),"mmmm")</f>
        <v>February</v>
      </c>
      <c r="S696" t="str">
        <f>IF(OR(H696=0,H696=6),"Weekend","Weekday")</f>
        <v>Weekday</v>
      </c>
      <c r="T696" s="1" t="str">
        <f>VLOOKUP(I696,[1]Lookup!$D$2:$E$5,2,FALSE)</f>
        <v>Mist / Cloudy</v>
      </c>
      <c r="U696" s="1" t="str">
        <f>IF(F696&lt;6,"Night",
IF(F696&lt;12,"Morning",
IF(F696&lt;17,"Afternoon",
IF(F696&lt;21,"Evening","Night"))))</f>
        <v>Afternoon</v>
      </c>
      <c r="V696" s="1" t="str">
        <f>IF(J696&lt;0.3,"Cold",
IF(J696&lt;0.6,"Pleasant","Hot"))</f>
        <v>Cold</v>
      </c>
      <c r="W696" s="1" t="str">
        <f>IF(L696&lt;0.4,"Low",
IF(L696&lt;0.7,"Medium","High"))</f>
        <v>High</v>
      </c>
      <c r="X696" s="1" t="str">
        <f>IF(M696&lt;0.2,"Low",
IF(M696&lt;0.4,"Medium","High"))</f>
        <v>Low</v>
      </c>
      <c r="Y696" s="1" t="str">
        <f>IF(P696&lt;100,"Low",
IF(P696&lt;300,"Medium","High"))</f>
        <v>Low</v>
      </c>
    </row>
    <row r="697" spans="1:25" x14ac:dyDescent="0.3">
      <c r="A697">
        <v>705</v>
      </c>
      <c r="B697" s="2">
        <v>40575</v>
      </c>
      <c r="C697">
        <v>1</v>
      </c>
      <c r="D697">
        <v>0</v>
      </c>
      <c r="E697">
        <v>2</v>
      </c>
      <c r="F697">
        <v>17</v>
      </c>
      <c r="G697" t="b">
        <v>0</v>
      </c>
      <c r="H697">
        <v>2</v>
      </c>
      <c r="I697">
        <v>2</v>
      </c>
      <c r="J697">
        <v>0.24</v>
      </c>
      <c r="K697">
        <v>0.28789999999999999</v>
      </c>
      <c r="L697">
        <v>0.75</v>
      </c>
      <c r="M697">
        <v>0</v>
      </c>
      <c r="N697">
        <v>4</v>
      </c>
      <c r="O697">
        <v>172</v>
      </c>
      <c r="P697">
        <v>176</v>
      </c>
      <c r="Q697" t="str">
        <f>VLOOKUP(MasterData[[#This Row],[season]],[1]Lookup!$A$2:$B$5,2,FALSE)</f>
        <v>Spring</v>
      </c>
      <c r="R697" t="str">
        <f>TEXT(DATE(2026,E697,1),"mmmm")</f>
        <v>February</v>
      </c>
      <c r="S697" t="str">
        <f>IF(OR(H697=0,H697=6),"Weekend","Weekday")</f>
        <v>Weekday</v>
      </c>
      <c r="T697" s="1" t="str">
        <f>VLOOKUP(I697,[1]Lookup!$D$2:$E$5,2,FALSE)</f>
        <v>Mist / Cloudy</v>
      </c>
      <c r="U697" s="1" t="str">
        <f>IF(F697&lt;6,"Night",
IF(F697&lt;12,"Morning",
IF(F697&lt;17,"Afternoon",
IF(F697&lt;21,"Evening","Night"))))</f>
        <v>Evening</v>
      </c>
      <c r="V697" s="1" t="str">
        <f>IF(J697&lt;0.3,"Cold",
IF(J697&lt;0.6,"Pleasant","Hot"))</f>
        <v>Cold</v>
      </c>
      <c r="W697" s="1" t="str">
        <f>IF(L697&lt;0.4,"Low",
IF(L697&lt;0.7,"Medium","High"))</f>
        <v>High</v>
      </c>
      <c r="X697" s="1" t="str">
        <f>IF(M697&lt;0.2,"Low",
IF(M697&lt;0.4,"Medium","High"))</f>
        <v>Low</v>
      </c>
      <c r="Y697" s="1" t="str">
        <f>IF(P697&lt;100,"Low",
IF(P697&lt;300,"Medium","High"))</f>
        <v>Medium</v>
      </c>
    </row>
    <row r="698" spans="1:25" x14ac:dyDescent="0.3">
      <c r="A698">
        <v>706</v>
      </c>
      <c r="B698" s="2">
        <v>40575</v>
      </c>
      <c r="C698">
        <v>1</v>
      </c>
      <c r="D698">
        <v>0</v>
      </c>
      <c r="E698">
        <v>2</v>
      </c>
      <c r="F698">
        <v>18</v>
      </c>
      <c r="G698" t="b">
        <v>0</v>
      </c>
      <c r="H698">
        <v>2</v>
      </c>
      <c r="I698">
        <v>2</v>
      </c>
      <c r="J698">
        <v>0.24</v>
      </c>
      <c r="K698">
        <v>0.2576</v>
      </c>
      <c r="L698">
        <v>0.81</v>
      </c>
      <c r="M698">
        <v>0.1045</v>
      </c>
      <c r="N698">
        <v>3</v>
      </c>
      <c r="O698">
        <v>165</v>
      </c>
      <c r="P698">
        <v>168</v>
      </c>
      <c r="Q698" t="str">
        <f>VLOOKUP(MasterData[[#This Row],[season]],[1]Lookup!$A$2:$B$5,2,FALSE)</f>
        <v>Spring</v>
      </c>
      <c r="R698" t="str">
        <f>TEXT(DATE(2026,E698,1),"mmmm")</f>
        <v>February</v>
      </c>
      <c r="S698" t="str">
        <f>IF(OR(H698=0,H698=6),"Weekend","Weekday")</f>
        <v>Weekday</v>
      </c>
      <c r="T698" s="1" t="str">
        <f>VLOOKUP(I698,[1]Lookup!$D$2:$E$5,2,FALSE)</f>
        <v>Mist / Cloudy</v>
      </c>
      <c r="U698" s="1" t="str">
        <f>IF(F698&lt;6,"Night",
IF(F698&lt;12,"Morning",
IF(F698&lt;17,"Afternoon",
IF(F698&lt;21,"Evening","Night"))))</f>
        <v>Evening</v>
      </c>
      <c r="V698" s="1" t="str">
        <f>IF(J698&lt;0.3,"Cold",
IF(J698&lt;0.6,"Pleasant","Hot"))</f>
        <v>Cold</v>
      </c>
      <c r="W698" s="1" t="str">
        <f>IF(L698&lt;0.4,"Low",
IF(L698&lt;0.7,"Medium","High"))</f>
        <v>High</v>
      </c>
      <c r="X698" s="1" t="str">
        <f>IF(M698&lt;0.2,"Low",
IF(M698&lt;0.4,"Medium","High"))</f>
        <v>Low</v>
      </c>
      <c r="Y698" s="1" t="str">
        <f>IF(P698&lt;100,"Low",
IF(P698&lt;300,"Medium","High"))</f>
        <v>Medium</v>
      </c>
    </row>
    <row r="699" spans="1:25" x14ac:dyDescent="0.3">
      <c r="A699">
        <v>707</v>
      </c>
      <c r="B699" s="2">
        <v>40575</v>
      </c>
      <c r="C699">
        <v>1</v>
      </c>
      <c r="D699">
        <v>0</v>
      </c>
      <c r="E699">
        <v>2</v>
      </c>
      <c r="F699">
        <v>19</v>
      </c>
      <c r="G699" t="b">
        <v>0</v>
      </c>
      <c r="H699">
        <v>2</v>
      </c>
      <c r="I699">
        <v>2</v>
      </c>
      <c r="J699">
        <v>0.24</v>
      </c>
      <c r="K699">
        <v>0.2424</v>
      </c>
      <c r="L699">
        <v>0.81</v>
      </c>
      <c r="M699">
        <v>0.1343</v>
      </c>
      <c r="N699">
        <v>3</v>
      </c>
      <c r="O699">
        <v>105</v>
      </c>
      <c r="P699">
        <v>108</v>
      </c>
      <c r="Q699" t="str">
        <f>VLOOKUP(MasterData[[#This Row],[season]],[1]Lookup!$A$2:$B$5,2,FALSE)</f>
        <v>Spring</v>
      </c>
      <c r="R699" t="str">
        <f>TEXT(DATE(2026,E699,1),"mmmm")</f>
        <v>February</v>
      </c>
      <c r="S699" t="str">
        <f>IF(OR(H699=0,H699=6),"Weekend","Weekday")</f>
        <v>Weekday</v>
      </c>
      <c r="T699" s="1" t="str">
        <f>VLOOKUP(I699,[1]Lookup!$D$2:$E$5,2,FALSE)</f>
        <v>Mist / Cloudy</v>
      </c>
      <c r="U699" s="1" t="str">
        <f>IF(F699&lt;6,"Night",
IF(F699&lt;12,"Morning",
IF(F699&lt;17,"Afternoon",
IF(F699&lt;21,"Evening","Night"))))</f>
        <v>Evening</v>
      </c>
      <c r="V699" s="1" t="str">
        <f>IF(J699&lt;0.3,"Cold",
IF(J699&lt;0.6,"Pleasant","Hot"))</f>
        <v>Cold</v>
      </c>
      <c r="W699" s="1" t="str">
        <f>IF(L699&lt;0.4,"Low",
IF(L699&lt;0.7,"Medium","High"))</f>
        <v>High</v>
      </c>
      <c r="X699" s="1" t="str">
        <f>IF(M699&lt;0.2,"Low",
IF(M699&lt;0.4,"Medium","High"))</f>
        <v>Low</v>
      </c>
      <c r="Y699" s="1" t="str">
        <f>IF(P699&lt;100,"Low",
IF(P699&lt;300,"Medium","High"))</f>
        <v>Medium</v>
      </c>
    </row>
    <row r="700" spans="1:25" x14ac:dyDescent="0.3">
      <c r="A700">
        <v>708</v>
      </c>
      <c r="B700" s="2">
        <v>40575</v>
      </c>
      <c r="C700">
        <v>1</v>
      </c>
      <c r="D700">
        <v>0</v>
      </c>
      <c r="E700">
        <v>2</v>
      </c>
      <c r="F700">
        <v>20</v>
      </c>
      <c r="G700" t="b">
        <v>0</v>
      </c>
      <c r="H700">
        <v>2</v>
      </c>
      <c r="I700">
        <v>2</v>
      </c>
      <c r="J700">
        <v>0.22</v>
      </c>
      <c r="K700">
        <v>0.2273</v>
      </c>
      <c r="L700">
        <v>0.87</v>
      </c>
      <c r="M700">
        <v>0.1343</v>
      </c>
      <c r="N700">
        <v>5</v>
      </c>
      <c r="O700">
        <v>69</v>
      </c>
      <c r="P700">
        <v>74</v>
      </c>
      <c r="Q700" t="str">
        <f>VLOOKUP(MasterData[[#This Row],[season]],[1]Lookup!$A$2:$B$5,2,FALSE)</f>
        <v>Spring</v>
      </c>
      <c r="R700" t="str">
        <f>TEXT(DATE(2026,E700,1),"mmmm")</f>
        <v>February</v>
      </c>
      <c r="S700" t="str">
        <f>IF(OR(H700=0,H700=6),"Weekend","Weekday")</f>
        <v>Weekday</v>
      </c>
      <c r="T700" s="1" t="str">
        <f>VLOOKUP(I700,[1]Lookup!$D$2:$E$5,2,FALSE)</f>
        <v>Mist / Cloudy</v>
      </c>
      <c r="U700" s="1" t="str">
        <f>IF(F700&lt;6,"Night",
IF(F700&lt;12,"Morning",
IF(F700&lt;17,"Afternoon",
IF(F700&lt;21,"Evening","Night"))))</f>
        <v>Evening</v>
      </c>
      <c r="V700" s="1" t="str">
        <f>IF(J700&lt;0.3,"Cold",
IF(J700&lt;0.6,"Pleasant","Hot"))</f>
        <v>Cold</v>
      </c>
      <c r="W700" s="1" t="str">
        <f>IF(L700&lt;0.4,"Low",
IF(L700&lt;0.7,"Medium","High"))</f>
        <v>High</v>
      </c>
      <c r="X700" s="1" t="str">
        <f>IF(M700&lt;0.2,"Low",
IF(M700&lt;0.4,"Medium","High"))</f>
        <v>Low</v>
      </c>
      <c r="Y700" s="1" t="str">
        <f>IF(P700&lt;100,"Low",
IF(P700&lt;300,"Medium","High"))</f>
        <v>Low</v>
      </c>
    </row>
    <row r="701" spans="1:25" x14ac:dyDescent="0.3">
      <c r="A701">
        <v>709</v>
      </c>
      <c r="B701" s="2">
        <v>40575</v>
      </c>
      <c r="C701">
        <v>1</v>
      </c>
      <c r="D701">
        <v>0</v>
      </c>
      <c r="E701">
        <v>2</v>
      </c>
      <c r="F701">
        <v>21</v>
      </c>
      <c r="G701" t="b">
        <v>0</v>
      </c>
      <c r="H701">
        <v>2</v>
      </c>
      <c r="I701">
        <v>2</v>
      </c>
      <c r="J701">
        <v>0.22</v>
      </c>
      <c r="K701">
        <v>0.2273</v>
      </c>
      <c r="L701">
        <v>0.87</v>
      </c>
      <c r="M701">
        <v>0.1343</v>
      </c>
      <c r="N701">
        <v>0</v>
      </c>
      <c r="O701">
        <v>64</v>
      </c>
      <c r="P701">
        <v>64</v>
      </c>
      <c r="Q701" t="str">
        <f>VLOOKUP(MasterData[[#This Row],[season]],[1]Lookup!$A$2:$B$5,2,FALSE)</f>
        <v>Spring</v>
      </c>
      <c r="R701" t="str">
        <f>TEXT(DATE(2026,E701,1),"mmmm")</f>
        <v>February</v>
      </c>
      <c r="S701" t="str">
        <f>IF(OR(H701=0,H701=6),"Weekend","Weekday")</f>
        <v>Weekday</v>
      </c>
      <c r="T701" s="1" t="str">
        <f>VLOOKUP(I701,[1]Lookup!$D$2:$E$5,2,FALSE)</f>
        <v>Mist / Cloudy</v>
      </c>
      <c r="U701" s="1" t="str">
        <f>IF(F701&lt;6,"Night",
IF(F701&lt;12,"Morning",
IF(F701&lt;17,"Afternoon",
IF(F701&lt;21,"Evening","Night"))))</f>
        <v>Night</v>
      </c>
      <c r="V701" s="1" t="str">
        <f>IF(J701&lt;0.3,"Cold",
IF(J701&lt;0.6,"Pleasant","Hot"))</f>
        <v>Cold</v>
      </c>
      <c r="W701" s="1" t="str">
        <f>IF(L701&lt;0.4,"Low",
IF(L701&lt;0.7,"Medium","High"))</f>
        <v>High</v>
      </c>
      <c r="X701" s="1" t="str">
        <f>IF(M701&lt;0.2,"Low",
IF(M701&lt;0.4,"Medium","High"))</f>
        <v>Low</v>
      </c>
      <c r="Y701" s="1" t="str">
        <f>IF(P701&lt;100,"Low",
IF(P701&lt;300,"Medium","High"))</f>
        <v>Low</v>
      </c>
    </row>
    <row r="702" spans="1:25" x14ac:dyDescent="0.3">
      <c r="A702">
        <v>710</v>
      </c>
      <c r="B702" s="2">
        <v>40575</v>
      </c>
      <c r="C702">
        <v>1</v>
      </c>
      <c r="D702">
        <v>0</v>
      </c>
      <c r="E702">
        <v>2</v>
      </c>
      <c r="F702">
        <v>22</v>
      </c>
      <c r="G702" t="b">
        <v>0</v>
      </c>
      <c r="H702">
        <v>2</v>
      </c>
      <c r="I702">
        <v>2</v>
      </c>
      <c r="J702">
        <v>0.22</v>
      </c>
      <c r="K702">
        <v>0.2576</v>
      </c>
      <c r="L702">
        <v>0.87</v>
      </c>
      <c r="M702">
        <v>8.9599999999999999E-2</v>
      </c>
      <c r="N702">
        <v>2</v>
      </c>
      <c r="O702">
        <v>34</v>
      </c>
      <c r="P702">
        <v>36</v>
      </c>
      <c r="Q702" t="str">
        <f>VLOOKUP(MasterData[[#This Row],[season]],[1]Lookup!$A$2:$B$5,2,FALSE)</f>
        <v>Spring</v>
      </c>
      <c r="R702" t="str">
        <f>TEXT(DATE(2026,E702,1),"mmmm")</f>
        <v>February</v>
      </c>
      <c r="S702" t="str">
        <f>IF(OR(H702=0,H702=6),"Weekend","Weekday")</f>
        <v>Weekday</v>
      </c>
      <c r="T702" s="1" t="str">
        <f>VLOOKUP(I702,[1]Lookup!$D$2:$E$5,2,FALSE)</f>
        <v>Mist / Cloudy</v>
      </c>
      <c r="U702" s="1" t="str">
        <f>IF(F702&lt;6,"Night",
IF(F702&lt;12,"Morning",
IF(F702&lt;17,"Afternoon",
IF(F702&lt;21,"Evening","Night"))))</f>
        <v>Night</v>
      </c>
      <c r="V702" s="1" t="str">
        <f>IF(J702&lt;0.3,"Cold",
IF(J702&lt;0.6,"Pleasant","Hot"))</f>
        <v>Cold</v>
      </c>
      <c r="W702" s="1" t="str">
        <f>IF(L702&lt;0.4,"Low",
IF(L702&lt;0.7,"Medium","High"))</f>
        <v>High</v>
      </c>
      <c r="X702" s="1" t="str">
        <f>IF(M702&lt;0.2,"Low",
IF(M702&lt;0.4,"Medium","High"))</f>
        <v>Low</v>
      </c>
      <c r="Y702" s="1" t="str">
        <f>IF(P702&lt;100,"Low",
IF(P702&lt;300,"Medium","High"))</f>
        <v>Low</v>
      </c>
    </row>
    <row r="703" spans="1:25" x14ac:dyDescent="0.3">
      <c r="A703">
        <v>711</v>
      </c>
      <c r="B703" s="2">
        <v>40575</v>
      </c>
      <c r="C703">
        <v>1</v>
      </c>
      <c r="D703">
        <v>0</v>
      </c>
      <c r="E703">
        <v>2</v>
      </c>
      <c r="F703">
        <v>23</v>
      </c>
      <c r="G703" t="b">
        <v>0</v>
      </c>
      <c r="H703">
        <v>2</v>
      </c>
      <c r="I703">
        <v>3</v>
      </c>
      <c r="J703">
        <v>0.2</v>
      </c>
      <c r="K703">
        <v>0.19700000000000001</v>
      </c>
      <c r="L703">
        <v>0.93</v>
      </c>
      <c r="M703">
        <v>0.19400000000000001</v>
      </c>
      <c r="N703">
        <v>1</v>
      </c>
      <c r="O703">
        <v>15</v>
      </c>
      <c r="P703">
        <v>16</v>
      </c>
      <c r="Q703" t="str">
        <f>VLOOKUP(MasterData[[#This Row],[season]],[1]Lookup!$A$2:$B$5,2,FALSE)</f>
        <v>Spring</v>
      </c>
      <c r="R703" t="str">
        <f>TEXT(DATE(2026,E703,1),"mmmm")</f>
        <v>February</v>
      </c>
      <c r="S703" t="str">
        <f>IF(OR(H703=0,H703=6),"Weekend","Weekday")</f>
        <v>Weekday</v>
      </c>
      <c r="T703" s="1" t="str">
        <f>VLOOKUP(I703,[1]Lookup!$D$2:$E$5,2,FALSE)</f>
        <v>Light Rain / Snow</v>
      </c>
      <c r="U703" s="1" t="str">
        <f>IF(F703&lt;6,"Night",
IF(F703&lt;12,"Morning",
IF(F703&lt;17,"Afternoon",
IF(F703&lt;21,"Evening","Night"))))</f>
        <v>Night</v>
      </c>
      <c r="V703" s="1" t="str">
        <f>IF(J703&lt;0.3,"Cold",
IF(J703&lt;0.6,"Pleasant","Hot"))</f>
        <v>Cold</v>
      </c>
      <c r="W703" s="1" t="str">
        <f>IF(L703&lt;0.4,"Low",
IF(L703&lt;0.7,"Medium","High"))</f>
        <v>High</v>
      </c>
      <c r="X703" s="1" t="str">
        <f>IF(M703&lt;0.2,"Low",
IF(M703&lt;0.4,"Medium","High"))</f>
        <v>Low</v>
      </c>
      <c r="Y703" s="1" t="str">
        <f>IF(P703&lt;100,"Low",
IF(P703&lt;300,"Medium","High"))</f>
        <v>Low</v>
      </c>
    </row>
    <row r="704" spans="1:25" x14ac:dyDescent="0.3">
      <c r="A704">
        <v>712</v>
      </c>
      <c r="B704" s="2">
        <v>40576</v>
      </c>
      <c r="C704">
        <v>1</v>
      </c>
      <c r="D704">
        <v>0</v>
      </c>
      <c r="E704">
        <v>2</v>
      </c>
      <c r="F704">
        <v>0</v>
      </c>
      <c r="G704" t="b">
        <v>0</v>
      </c>
      <c r="H704">
        <v>3</v>
      </c>
      <c r="I704">
        <v>3</v>
      </c>
      <c r="J704">
        <v>0.22</v>
      </c>
      <c r="K704">
        <v>0.2424</v>
      </c>
      <c r="L704">
        <v>0.93</v>
      </c>
      <c r="M704">
        <v>0.1045</v>
      </c>
      <c r="N704">
        <v>0</v>
      </c>
      <c r="O704">
        <v>2</v>
      </c>
      <c r="P704">
        <v>2</v>
      </c>
      <c r="Q704" t="str">
        <f>VLOOKUP(MasterData[[#This Row],[season]],[1]Lookup!$A$2:$B$5,2,FALSE)</f>
        <v>Spring</v>
      </c>
      <c r="R704" t="str">
        <f>TEXT(DATE(2026,E704,1),"mmmm")</f>
        <v>February</v>
      </c>
      <c r="S704" t="str">
        <f>IF(OR(H704=0,H704=6),"Weekend","Weekday")</f>
        <v>Weekday</v>
      </c>
      <c r="T704" s="1" t="str">
        <f>VLOOKUP(I704,[1]Lookup!$D$2:$E$5,2,FALSE)</f>
        <v>Light Rain / Snow</v>
      </c>
      <c r="U704" s="1" t="str">
        <f>IF(F704&lt;6,"Night",
IF(F704&lt;12,"Morning",
IF(F704&lt;17,"Afternoon",
IF(F704&lt;21,"Evening","Night"))))</f>
        <v>Night</v>
      </c>
      <c r="V704" s="1" t="str">
        <f>IF(J704&lt;0.3,"Cold",
IF(J704&lt;0.6,"Pleasant","Hot"))</f>
        <v>Cold</v>
      </c>
      <c r="W704" s="1" t="str">
        <f>IF(L704&lt;0.4,"Low",
IF(L704&lt;0.7,"Medium","High"))</f>
        <v>High</v>
      </c>
      <c r="X704" s="1" t="str">
        <f>IF(M704&lt;0.2,"Low",
IF(M704&lt;0.4,"Medium","High"))</f>
        <v>Low</v>
      </c>
      <c r="Y704" s="1" t="str">
        <f>IF(P704&lt;100,"Low",
IF(P704&lt;300,"Medium","High"))</f>
        <v>Low</v>
      </c>
    </row>
    <row r="705" spans="1:25" x14ac:dyDescent="0.3">
      <c r="A705">
        <v>713</v>
      </c>
      <c r="B705" s="2">
        <v>40576</v>
      </c>
      <c r="C705">
        <v>1</v>
      </c>
      <c r="D705">
        <v>0</v>
      </c>
      <c r="E705">
        <v>2</v>
      </c>
      <c r="F705">
        <v>1</v>
      </c>
      <c r="G705" t="b">
        <v>0</v>
      </c>
      <c r="H705">
        <v>3</v>
      </c>
      <c r="I705">
        <v>3</v>
      </c>
      <c r="J705">
        <v>0.22</v>
      </c>
      <c r="K705">
        <v>0.2273</v>
      </c>
      <c r="L705">
        <v>0.93</v>
      </c>
      <c r="M705">
        <v>0.19400000000000001</v>
      </c>
      <c r="N705">
        <v>0</v>
      </c>
      <c r="O705">
        <v>3</v>
      </c>
      <c r="P705">
        <v>3</v>
      </c>
      <c r="Q705" t="str">
        <f>VLOOKUP(MasterData[[#This Row],[season]],[1]Lookup!$A$2:$B$5,2,FALSE)</f>
        <v>Spring</v>
      </c>
      <c r="R705" t="str">
        <f>TEXT(DATE(2026,E705,1),"mmmm")</f>
        <v>February</v>
      </c>
      <c r="S705" t="str">
        <f>IF(OR(H705=0,H705=6),"Weekend","Weekday")</f>
        <v>Weekday</v>
      </c>
      <c r="T705" s="1" t="str">
        <f>VLOOKUP(I705,[1]Lookup!$D$2:$E$5,2,FALSE)</f>
        <v>Light Rain / Snow</v>
      </c>
      <c r="U705" s="1" t="str">
        <f>IF(F705&lt;6,"Night",
IF(F705&lt;12,"Morning",
IF(F705&lt;17,"Afternoon",
IF(F705&lt;21,"Evening","Night"))))</f>
        <v>Night</v>
      </c>
      <c r="V705" s="1" t="str">
        <f>IF(J705&lt;0.3,"Cold",
IF(J705&lt;0.6,"Pleasant","Hot"))</f>
        <v>Cold</v>
      </c>
      <c r="W705" s="1" t="str">
        <f>IF(L705&lt;0.4,"Low",
IF(L705&lt;0.7,"Medium","High"))</f>
        <v>High</v>
      </c>
      <c r="X705" s="1" t="str">
        <f>IF(M705&lt;0.2,"Low",
IF(M705&lt;0.4,"Medium","High"))</f>
        <v>Low</v>
      </c>
      <c r="Y705" s="1" t="str">
        <f>IF(P705&lt;100,"Low",
IF(P705&lt;300,"Medium","High"))</f>
        <v>Low</v>
      </c>
    </row>
    <row r="706" spans="1:25" x14ac:dyDescent="0.3">
      <c r="A706">
        <v>714</v>
      </c>
      <c r="B706" s="2">
        <v>40576</v>
      </c>
      <c r="C706">
        <v>1</v>
      </c>
      <c r="D706">
        <v>0</v>
      </c>
      <c r="E706">
        <v>2</v>
      </c>
      <c r="F706">
        <v>2</v>
      </c>
      <c r="G706" t="b">
        <v>0</v>
      </c>
      <c r="H706">
        <v>3</v>
      </c>
      <c r="I706">
        <v>3</v>
      </c>
      <c r="J706">
        <v>0.22</v>
      </c>
      <c r="K706">
        <v>0.2273</v>
      </c>
      <c r="L706">
        <v>0.93</v>
      </c>
      <c r="M706">
        <v>0.1343</v>
      </c>
      <c r="N706">
        <v>4</v>
      </c>
      <c r="O706">
        <v>0</v>
      </c>
      <c r="P706">
        <v>4</v>
      </c>
      <c r="Q706" t="str">
        <f>VLOOKUP(MasterData[[#This Row],[season]],[1]Lookup!$A$2:$B$5,2,FALSE)</f>
        <v>Spring</v>
      </c>
      <c r="R706" t="str">
        <f>TEXT(DATE(2026,E706,1),"mmmm")</f>
        <v>February</v>
      </c>
      <c r="S706" t="str">
        <f>IF(OR(H706=0,H706=6),"Weekend","Weekday")</f>
        <v>Weekday</v>
      </c>
      <c r="T706" s="1" t="str">
        <f>VLOOKUP(I706,[1]Lookup!$D$2:$E$5,2,FALSE)</f>
        <v>Light Rain / Snow</v>
      </c>
      <c r="U706" s="1" t="str">
        <f>IF(F706&lt;6,"Night",
IF(F706&lt;12,"Morning",
IF(F706&lt;17,"Afternoon",
IF(F706&lt;21,"Evening","Night"))))</f>
        <v>Night</v>
      </c>
      <c r="V706" s="1" t="str">
        <f>IF(J706&lt;0.3,"Cold",
IF(J706&lt;0.6,"Pleasant","Hot"))</f>
        <v>Cold</v>
      </c>
      <c r="W706" s="1" t="str">
        <f>IF(L706&lt;0.4,"Low",
IF(L706&lt;0.7,"Medium","High"))</f>
        <v>High</v>
      </c>
      <c r="X706" s="1" t="str">
        <f>IF(M706&lt;0.2,"Low",
IF(M706&lt;0.4,"Medium","High"))</f>
        <v>Low</v>
      </c>
      <c r="Y706" s="1" t="str">
        <f>IF(P706&lt;100,"Low",
IF(P706&lt;300,"Medium","High"))</f>
        <v>Low</v>
      </c>
    </row>
    <row r="707" spans="1:25" x14ac:dyDescent="0.3">
      <c r="A707">
        <v>715</v>
      </c>
      <c r="B707" s="2">
        <v>40576</v>
      </c>
      <c r="C707">
        <v>1</v>
      </c>
      <c r="D707">
        <v>0</v>
      </c>
      <c r="E707">
        <v>2</v>
      </c>
      <c r="F707">
        <v>3</v>
      </c>
      <c r="G707" t="b">
        <v>0</v>
      </c>
      <c r="H707">
        <v>3</v>
      </c>
      <c r="I707">
        <v>3</v>
      </c>
      <c r="J707">
        <v>0.22</v>
      </c>
      <c r="K707">
        <v>0.2273</v>
      </c>
      <c r="L707">
        <v>0.93</v>
      </c>
      <c r="M707">
        <v>0.1343</v>
      </c>
      <c r="N707">
        <v>0</v>
      </c>
      <c r="O707">
        <v>1</v>
      </c>
      <c r="P707">
        <v>1</v>
      </c>
      <c r="Q707" t="str">
        <f>VLOOKUP(MasterData[[#This Row],[season]],[1]Lookup!$A$2:$B$5,2,FALSE)</f>
        <v>Spring</v>
      </c>
      <c r="R707" t="str">
        <f>TEXT(DATE(2026,E707,1),"mmmm")</f>
        <v>February</v>
      </c>
      <c r="S707" t="str">
        <f>IF(OR(H707=0,H707=6),"Weekend","Weekday")</f>
        <v>Weekday</v>
      </c>
      <c r="T707" s="1" t="str">
        <f>VLOOKUP(I707,[1]Lookup!$D$2:$E$5,2,FALSE)</f>
        <v>Light Rain / Snow</v>
      </c>
      <c r="U707" s="1" t="str">
        <f>IF(F707&lt;6,"Night",
IF(F707&lt;12,"Morning",
IF(F707&lt;17,"Afternoon",
IF(F707&lt;21,"Evening","Night"))))</f>
        <v>Night</v>
      </c>
      <c r="V707" s="1" t="str">
        <f>IF(J707&lt;0.3,"Cold",
IF(J707&lt;0.6,"Pleasant","Hot"))</f>
        <v>Cold</v>
      </c>
      <c r="W707" s="1" t="str">
        <f>IF(L707&lt;0.4,"Low",
IF(L707&lt;0.7,"Medium","High"))</f>
        <v>High</v>
      </c>
      <c r="X707" s="1" t="str">
        <f>IF(M707&lt;0.2,"Low",
IF(M707&lt;0.4,"Medium","High"))</f>
        <v>Low</v>
      </c>
      <c r="Y707" s="1" t="str">
        <f>IF(P707&lt;100,"Low",
IF(P707&lt;300,"Medium","High"))</f>
        <v>Low</v>
      </c>
    </row>
    <row r="708" spans="1:25" x14ac:dyDescent="0.3">
      <c r="A708">
        <v>716</v>
      </c>
      <c r="B708" s="2">
        <v>40576</v>
      </c>
      <c r="C708">
        <v>1</v>
      </c>
      <c r="D708">
        <v>0</v>
      </c>
      <c r="E708">
        <v>2</v>
      </c>
      <c r="F708">
        <v>4</v>
      </c>
      <c r="G708" t="b">
        <v>0</v>
      </c>
      <c r="H708">
        <v>3</v>
      </c>
      <c r="I708">
        <v>3</v>
      </c>
      <c r="J708">
        <v>0.22</v>
      </c>
      <c r="K708">
        <v>0.21210000000000001</v>
      </c>
      <c r="L708">
        <v>0.93</v>
      </c>
      <c r="M708">
        <v>0.28360000000000002</v>
      </c>
      <c r="N708">
        <v>0</v>
      </c>
      <c r="O708">
        <v>1</v>
      </c>
      <c r="P708">
        <v>1</v>
      </c>
      <c r="Q708" t="str">
        <f>VLOOKUP(MasterData[[#This Row],[season]],[1]Lookup!$A$2:$B$5,2,FALSE)</f>
        <v>Spring</v>
      </c>
      <c r="R708" t="str">
        <f>TEXT(DATE(2026,E708,1),"mmmm")</f>
        <v>February</v>
      </c>
      <c r="S708" t="str">
        <f>IF(OR(H708=0,H708=6),"Weekend","Weekday")</f>
        <v>Weekday</v>
      </c>
      <c r="T708" s="1" t="str">
        <f>VLOOKUP(I708,[1]Lookup!$D$2:$E$5,2,FALSE)</f>
        <v>Light Rain / Snow</v>
      </c>
      <c r="U708" s="1" t="str">
        <f>IF(F708&lt;6,"Night",
IF(F708&lt;12,"Morning",
IF(F708&lt;17,"Afternoon",
IF(F708&lt;21,"Evening","Night"))))</f>
        <v>Night</v>
      </c>
      <c r="V708" s="1" t="str">
        <f>IF(J708&lt;0.3,"Cold",
IF(J708&lt;0.6,"Pleasant","Hot"))</f>
        <v>Cold</v>
      </c>
      <c r="W708" s="1" t="str">
        <f>IF(L708&lt;0.4,"Low",
IF(L708&lt;0.7,"Medium","High"))</f>
        <v>High</v>
      </c>
      <c r="X708" s="1" t="str">
        <f>IF(M708&lt;0.2,"Low",
IF(M708&lt;0.4,"Medium","High"))</f>
        <v>Medium</v>
      </c>
      <c r="Y708" s="1" t="str">
        <f>IF(P708&lt;100,"Low",
IF(P708&lt;300,"Medium","High"))</f>
        <v>Low</v>
      </c>
    </row>
    <row r="709" spans="1:25" x14ac:dyDescent="0.3">
      <c r="A709">
        <v>717</v>
      </c>
      <c r="B709" s="2">
        <v>40576</v>
      </c>
      <c r="C709">
        <v>1</v>
      </c>
      <c r="D709">
        <v>0</v>
      </c>
      <c r="E709">
        <v>2</v>
      </c>
      <c r="F709">
        <v>5</v>
      </c>
      <c r="G709" t="b">
        <v>0</v>
      </c>
      <c r="H709">
        <v>3</v>
      </c>
      <c r="I709">
        <v>3</v>
      </c>
      <c r="J709">
        <v>0.22</v>
      </c>
      <c r="K709">
        <v>0.2424</v>
      </c>
      <c r="L709">
        <v>0.93</v>
      </c>
      <c r="M709">
        <v>0.1045</v>
      </c>
      <c r="N709">
        <v>0</v>
      </c>
      <c r="O709">
        <v>3</v>
      </c>
      <c r="P709">
        <v>3</v>
      </c>
      <c r="Q709" t="str">
        <f>VLOOKUP(MasterData[[#This Row],[season]],[1]Lookup!$A$2:$B$5,2,FALSE)</f>
        <v>Spring</v>
      </c>
      <c r="R709" t="str">
        <f>TEXT(DATE(2026,E709,1),"mmmm")</f>
        <v>February</v>
      </c>
      <c r="S709" t="str">
        <f>IF(OR(H709=0,H709=6),"Weekend","Weekday")</f>
        <v>Weekday</v>
      </c>
      <c r="T709" s="1" t="str">
        <f>VLOOKUP(I709,[1]Lookup!$D$2:$E$5,2,FALSE)</f>
        <v>Light Rain / Snow</v>
      </c>
      <c r="U709" s="1" t="str">
        <f>IF(F709&lt;6,"Night",
IF(F709&lt;12,"Morning",
IF(F709&lt;17,"Afternoon",
IF(F709&lt;21,"Evening","Night"))))</f>
        <v>Night</v>
      </c>
      <c r="V709" s="1" t="str">
        <f>IF(J709&lt;0.3,"Cold",
IF(J709&lt;0.6,"Pleasant","Hot"))</f>
        <v>Cold</v>
      </c>
      <c r="W709" s="1" t="str">
        <f>IF(L709&lt;0.4,"Low",
IF(L709&lt;0.7,"Medium","High"))</f>
        <v>High</v>
      </c>
      <c r="X709" s="1" t="str">
        <f>IF(M709&lt;0.2,"Low",
IF(M709&lt;0.4,"Medium","High"))</f>
        <v>Low</v>
      </c>
      <c r="Y709" s="1" t="str">
        <f>IF(P709&lt;100,"Low",
IF(P709&lt;300,"Medium","High"))</f>
        <v>Low</v>
      </c>
    </row>
    <row r="710" spans="1:25" x14ac:dyDescent="0.3">
      <c r="A710">
        <v>718</v>
      </c>
      <c r="B710" s="2">
        <v>40576</v>
      </c>
      <c r="C710">
        <v>1</v>
      </c>
      <c r="D710">
        <v>0</v>
      </c>
      <c r="E710">
        <v>2</v>
      </c>
      <c r="F710">
        <v>6</v>
      </c>
      <c r="G710" t="b">
        <v>0</v>
      </c>
      <c r="H710">
        <v>3</v>
      </c>
      <c r="I710">
        <v>3</v>
      </c>
      <c r="J710">
        <v>0.22</v>
      </c>
      <c r="K710">
        <v>0.2424</v>
      </c>
      <c r="L710">
        <v>0.93</v>
      </c>
      <c r="M710">
        <v>0.1045</v>
      </c>
      <c r="N710">
        <v>1</v>
      </c>
      <c r="O710">
        <v>17</v>
      </c>
      <c r="P710">
        <v>18</v>
      </c>
      <c r="Q710" t="str">
        <f>VLOOKUP(MasterData[[#This Row],[season]],[1]Lookup!$A$2:$B$5,2,FALSE)</f>
        <v>Spring</v>
      </c>
      <c r="R710" t="str">
        <f>TEXT(DATE(2026,E710,1),"mmmm")</f>
        <v>February</v>
      </c>
      <c r="S710" t="str">
        <f>IF(OR(H710=0,H710=6),"Weekend","Weekday")</f>
        <v>Weekday</v>
      </c>
      <c r="T710" s="1" t="str">
        <f>VLOOKUP(I710,[1]Lookup!$D$2:$E$5,2,FALSE)</f>
        <v>Light Rain / Snow</v>
      </c>
      <c r="U710" s="1" t="str">
        <f>IF(F710&lt;6,"Night",
IF(F710&lt;12,"Morning",
IF(F710&lt;17,"Afternoon",
IF(F710&lt;21,"Evening","Night"))))</f>
        <v>Morning</v>
      </c>
      <c r="V710" s="1" t="str">
        <f>IF(J710&lt;0.3,"Cold",
IF(J710&lt;0.6,"Pleasant","Hot"))</f>
        <v>Cold</v>
      </c>
      <c r="W710" s="1" t="str">
        <f>IF(L710&lt;0.4,"Low",
IF(L710&lt;0.7,"Medium","High"))</f>
        <v>High</v>
      </c>
      <c r="X710" s="1" t="str">
        <f>IF(M710&lt;0.2,"Low",
IF(M710&lt;0.4,"Medium","High"))</f>
        <v>Low</v>
      </c>
      <c r="Y710" s="1" t="str">
        <f>IF(P710&lt;100,"Low",
IF(P710&lt;300,"Medium","High"))</f>
        <v>Low</v>
      </c>
    </row>
    <row r="711" spans="1:25" x14ac:dyDescent="0.3">
      <c r="A711">
        <v>719</v>
      </c>
      <c r="B711" s="2">
        <v>40576</v>
      </c>
      <c r="C711">
        <v>1</v>
      </c>
      <c r="D711">
        <v>0</v>
      </c>
      <c r="E711">
        <v>2</v>
      </c>
      <c r="F711">
        <v>7</v>
      </c>
      <c r="G711" t="b">
        <v>0</v>
      </c>
      <c r="H711">
        <v>3</v>
      </c>
      <c r="I711">
        <v>3</v>
      </c>
      <c r="J711">
        <v>0.22</v>
      </c>
      <c r="K711">
        <v>0.21210000000000001</v>
      </c>
      <c r="L711">
        <v>0.93</v>
      </c>
      <c r="M711">
        <v>0.22389999999999999</v>
      </c>
      <c r="N711">
        <v>1</v>
      </c>
      <c r="O711">
        <v>48</v>
      </c>
      <c r="P711">
        <v>49</v>
      </c>
      <c r="Q711" t="str">
        <f>VLOOKUP(MasterData[[#This Row],[season]],[1]Lookup!$A$2:$B$5,2,FALSE)</f>
        <v>Spring</v>
      </c>
      <c r="R711" t="str">
        <f>TEXT(DATE(2026,E711,1),"mmmm")</f>
        <v>February</v>
      </c>
      <c r="S711" t="str">
        <f>IF(OR(H711=0,H711=6),"Weekend","Weekday")</f>
        <v>Weekday</v>
      </c>
      <c r="T711" s="1" t="str">
        <f>VLOOKUP(I711,[1]Lookup!$D$2:$E$5,2,FALSE)</f>
        <v>Light Rain / Snow</v>
      </c>
      <c r="U711" s="1" t="str">
        <f>IF(F711&lt;6,"Night",
IF(F711&lt;12,"Morning",
IF(F711&lt;17,"Afternoon",
IF(F711&lt;21,"Evening","Night"))))</f>
        <v>Morning</v>
      </c>
      <c r="V711" s="1" t="str">
        <f>IF(J711&lt;0.3,"Cold",
IF(J711&lt;0.6,"Pleasant","Hot"))</f>
        <v>Cold</v>
      </c>
      <c r="W711" s="1" t="str">
        <f>IF(L711&lt;0.4,"Low",
IF(L711&lt;0.7,"Medium","High"))</f>
        <v>High</v>
      </c>
      <c r="X711" s="1" t="str">
        <f>IF(M711&lt;0.2,"Low",
IF(M711&lt;0.4,"Medium","High"))</f>
        <v>Medium</v>
      </c>
      <c r="Y711" s="1" t="str">
        <f>IF(P711&lt;100,"Low",
IF(P711&lt;300,"Medium","High"))</f>
        <v>Low</v>
      </c>
    </row>
    <row r="712" spans="1:25" x14ac:dyDescent="0.3">
      <c r="A712">
        <v>720</v>
      </c>
      <c r="B712" s="2">
        <v>40576</v>
      </c>
      <c r="C712">
        <v>1</v>
      </c>
      <c r="D712">
        <v>0</v>
      </c>
      <c r="E712">
        <v>2</v>
      </c>
      <c r="F712">
        <v>8</v>
      </c>
      <c r="G712" t="b">
        <v>0</v>
      </c>
      <c r="H712">
        <v>3</v>
      </c>
      <c r="I712">
        <v>3</v>
      </c>
      <c r="J712">
        <v>0.22</v>
      </c>
      <c r="K712">
        <v>0.21210000000000001</v>
      </c>
      <c r="L712">
        <v>0.93</v>
      </c>
      <c r="M712">
        <v>0.22389999999999999</v>
      </c>
      <c r="N712">
        <v>1</v>
      </c>
      <c r="O712">
        <v>154</v>
      </c>
      <c r="P712">
        <v>155</v>
      </c>
      <c r="Q712" t="str">
        <f>VLOOKUP(MasterData[[#This Row],[season]],[1]Lookup!$A$2:$B$5,2,FALSE)</f>
        <v>Spring</v>
      </c>
      <c r="R712" t="str">
        <f>TEXT(DATE(2026,E712,1),"mmmm")</f>
        <v>February</v>
      </c>
      <c r="S712" t="str">
        <f>IF(OR(H712=0,H712=6),"Weekend","Weekday")</f>
        <v>Weekday</v>
      </c>
      <c r="T712" s="1" t="str">
        <f>VLOOKUP(I712,[1]Lookup!$D$2:$E$5,2,FALSE)</f>
        <v>Light Rain / Snow</v>
      </c>
      <c r="U712" s="1" t="str">
        <f>IF(F712&lt;6,"Night",
IF(F712&lt;12,"Morning",
IF(F712&lt;17,"Afternoon",
IF(F712&lt;21,"Evening","Night"))))</f>
        <v>Morning</v>
      </c>
      <c r="V712" s="1" t="str">
        <f>IF(J712&lt;0.3,"Cold",
IF(J712&lt;0.6,"Pleasant","Hot"))</f>
        <v>Cold</v>
      </c>
      <c r="W712" s="1" t="str">
        <f>IF(L712&lt;0.4,"Low",
IF(L712&lt;0.7,"Medium","High"))</f>
        <v>High</v>
      </c>
      <c r="X712" s="1" t="str">
        <f>IF(M712&lt;0.2,"Low",
IF(M712&lt;0.4,"Medium","High"))</f>
        <v>Medium</v>
      </c>
      <c r="Y712" s="1" t="str">
        <f>IF(P712&lt;100,"Low",
IF(P712&lt;300,"Medium","High"))</f>
        <v>Medium</v>
      </c>
    </row>
    <row r="713" spans="1:25" x14ac:dyDescent="0.3">
      <c r="A713">
        <v>721</v>
      </c>
      <c r="B713" s="2">
        <v>40576</v>
      </c>
      <c r="C713">
        <v>1</v>
      </c>
      <c r="D713">
        <v>0</v>
      </c>
      <c r="E713">
        <v>2</v>
      </c>
      <c r="F713">
        <v>9</v>
      </c>
      <c r="G713" t="b">
        <v>0</v>
      </c>
      <c r="H713">
        <v>3</v>
      </c>
      <c r="I713">
        <v>2</v>
      </c>
      <c r="J713">
        <v>0.24</v>
      </c>
      <c r="K713">
        <v>0.2576</v>
      </c>
      <c r="L713">
        <v>0.93</v>
      </c>
      <c r="M713">
        <v>8.9599999999999999E-2</v>
      </c>
      <c r="N713">
        <v>4</v>
      </c>
      <c r="O713">
        <v>119</v>
      </c>
      <c r="P713">
        <v>123</v>
      </c>
      <c r="Q713" t="str">
        <f>VLOOKUP(MasterData[[#This Row],[season]],[1]Lookup!$A$2:$B$5,2,FALSE)</f>
        <v>Spring</v>
      </c>
      <c r="R713" t="str">
        <f>TEXT(DATE(2026,E713,1),"mmmm")</f>
        <v>February</v>
      </c>
      <c r="S713" t="str">
        <f>IF(OR(H713=0,H713=6),"Weekend","Weekday")</f>
        <v>Weekday</v>
      </c>
      <c r="T713" s="1" t="str">
        <f>VLOOKUP(I713,[1]Lookup!$D$2:$E$5,2,FALSE)</f>
        <v>Mist / Cloudy</v>
      </c>
      <c r="U713" s="1" t="str">
        <f>IF(F713&lt;6,"Night",
IF(F713&lt;12,"Morning",
IF(F713&lt;17,"Afternoon",
IF(F713&lt;21,"Evening","Night"))))</f>
        <v>Morning</v>
      </c>
      <c r="V713" s="1" t="str">
        <f>IF(J713&lt;0.3,"Cold",
IF(J713&lt;0.6,"Pleasant","Hot"))</f>
        <v>Cold</v>
      </c>
      <c r="W713" s="1" t="str">
        <f>IF(L713&lt;0.4,"Low",
IF(L713&lt;0.7,"Medium","High"))</f>
        <v>High</v>
      </c>
      <c r="X713" s="1" t="str">
        <f>IF(M713&lt;0.2,"Low",
IF(M713&lt;0.4,"Medium","High"))</f>
        <v>Low</v>
      </c>
      <c r="Y713" s="1" t="str">
        <f>IF(P713&lt;100,"Low",
IF(P713&lt;300,"Medium","High"))</f>
        <v>Medium</v>
      </c>
    </row>
    <row r="714" spans="1:25" x14ac:dyDescent="0.3">
      <c r="A714">
        <v>722</v>
      </c>
      <c r="B714" s="2">
        <v>40576</v>
      </c>
      <c r="C714">
        <v>1</v>
      </c>
      <c r="D714">
        <v>0</v>
      </c>
      <c r="E714">
        <v>2</v>
      </c>
      <c r="F714">
        <v>10</v>
      </c>
      <c r="G714" t="b">
        <v>0</v>
      </c>
      <c r="H714">
        <v>3</v>
      </c>
      <c r="I714">
        <v>2</v>
      </c>
      <c r="J714">
        <v>0.22</v>
      </c>
      <c r="K714">
        <v>0.2727</v>
      </c>
      <c r="L714">
        <v>1</v>
      </c>
      <c r="M714">
        <v>0</v>
      </c>
      <c r="N714">
        <v>2</v>
      </c>
      <c r="O714">
        <v>59</v>
      </c>
      <c r="P714">
        <v>61</v>
      </c>
      <c r="Q714" t="str">
        <f>VLOOKUP(MasterData[[#This Row],[season]],[1]Lookup!$A$2:$B$5,2,FALSE)</f>
        <v>Spring</v>
      </c>
      <c r="R714" t="str">
        <f>TEXT(DATE(2026,E714,1),"mmmm")</f>
        <v>February</v>
      </c>
      <c r="S714" t="str">
        <f>IF(OR(H714=0,H714=6),"Weekend","Weekday")</f>
        <v>Weekday</v>
      </c>
      <c r="T714" s="1" t="str">
        <f>VLOOKUP(I714,[1]Lookup!$D$2:$E$5,2,FALSE)</f>
        <v>Mist / Cloudy</v>
      </c>
      <c r="U714" s="1" t="str">
        <f>IF(F714&lt;6,"Night",
IF(F714&lt;12,"Morning",
IF(F714&lt;17,"Afternoon",
IF(F714&lt;21,"Evening","Night"))))</f>
        <v>Morning</v>
      </c>
      <c r="V714" s="1" t="str">
        <f>IF(J714&lt;0.3,"Cold",
IF(J714&lt;0.6,"Pleasant","Hot"))</f>
        <v>Cold</v>
      </c>
      <c r="W714" s="1" t="str">
        <f>IF(L714&lt;0.4,"Low",
IF(L714&lt;0.7,"Medium","High"))</f>
        <v>High</v>
      </c>
      <c r="X714" s="1" t="str">
        <f>IF(M714&lt;0.2,"Low",
IF(M714&lt;0.4,"Medium","High"))</f>
        <v>Low</v>
      </c>
      <c r="Y714" s="1" t="str">
        <f>IF(P714&lt;100,"Low",
IF(P714&lt;300,"Medium","High"))</f>
        <v>Low</v>
      </c>
    </row>
    <row r="715" spans="1:25" x14ac:dyDescent="0.3">
      <c r="A715">
        <v>723</v>
      </c>
      <c r="B715" s="2">
        <v>40576</v>
      </c>
      <c r="C715">
        <v>1</v>
      </c>
      <c r="D715">
        <v>0</v>
      </c>
      <c r="E715">
        <v>2</v>
      </c>
      <c r="F715">
        <v>11</v>
      </c>
      <c r="G715" t="b">
        <v>0</v>
      </c>
      <c r="H715">
        <v>3</v>
      </c>
      <c r="I715">
        <v>2</v>
      </c>
      <c r="J715">
        <v>0.24</v>
      </c>
      <c r="K715">
        <v>0.2273</v>
      </c>
      <c r="L715">
        <v>0.93</v>
      </c>
      <c r="M715">
        <v>0.19400000000000001</v>
      </c>
      <c r="N715">
        <v>5</v>
      </c>
      <c r="O715">
        <v>47</v>
      </c>
      <c r="P715">
        <v>52</v>
      </c>
      <c r="Q715" t="str">
        <f>VLOOKUP(MasterData[[#This Row],[season]],[1]Lookup!$A$2:$B$5,2,FALSE)</f>
        <v>Spring</v>
      </c>
      <c r="R715" t="str">
        <f>TEXT(DATE(2026,E715,1),"mmmm")</f>
        <v>February</v>
      </c>
      <c r="S715" t="str">
        <f>IF(OR(H715=0,H715=6),"Weekend","Weekday")</f>
        <v>Weekday</v>
      </c>
      <c r="T715" s="1" t="str">
        <f>VLOOKUP(I715,[1]Lookup!$D$2:$E$5,2,FALSE)</f>
        <v>Mist / Cloudy</v>
      </c>
      <c r="U715" s="1" t="str">
        <f>IF(F715&lt;6,"Night",
IF(F715&lt;12,"Morning",
IF(F715&lt;17,"Afternoon",
IF(F715&lt;21,"Evening","Night"))))</f>
        <v>Morning</v>
      </c>
      <c r="V715" s="1" t="str">
        <f>IF(J715&lt;0.3,"Cold",
IF(J715&lt;0.6,"Pleasant","Hot"))</f>
        <v>Cold</v>
      </c>
      <c r="W715" s="1" t="str">
        <f>IF(L715&lt;0.4,"Low",
IF(L715&lt;0.7,"Medium","High"))</f>
        <v>High</v>
      </c>
      <c r="X715" s="1" t="str">
        <f>IF(M715&lt;0.2,"Low",
IF(M715&lt;0.4,"Medium","High"))</f>
        <v>Low</v>
      </c>
      <c r="Y715" s="1" t="str">
        <f>IF(P715&lt;100,"Low",
IF(P715&lt;300,"Medium","High"))</f>
        <v>Low</v>
      </c>
    </row>
    <row r="716" spans="1:25" x14ac:dyDescent="0.3">
      <c r="A716">
        <v>724</v>
      </c>
      <c r="B716" s="2">
        <v>40576</v>
      </c>
      <c r="C716">
        <v>1</v>
      </c>
      <c r="D716">
        <v>0</v>
      </c>
      <c r="E716">
        <v>2</v>
      </c>
      <c r="F716">
        <v>12</v>
      </c>
      <c r="G716" t="b">
        <v>0</v>
      </c>
      <c r="H716">
        <v>3</v>
      </c>
      <c r="I716">
        <v>2</v>
      </c>
      <c r="J716">
        <v>0.24</v>
      </c>
      <c r="K716">
        <v>0.2273</v>
      </c>
      <c r="L716">
        <v>0.93</v>
      </c>
      <c r="M716">
        <v>0.22389999999999999</v>
      </c>
      <c r="N716">
        <v>3</v>
      </c>
      <c r="O716">
        <v>61</v>
      </c>
      <c r="P716">
        <v>64</v>
      </c>
      <c r="Q716" t="str">
        <f>VLOOKUP(MasterData[[#This Row],[season]],[1]Lookup!$A$2:$B$5,2,FALSE)</f>
        <v>Spring</v>
      </c>
      <c r="R716" t="str">
        <f>TEXT(DATE(2026,E716,1),"mmmm")</f>
        <v>February</v>
      </c>
      <c r="S716" t="str">
        <f>IF(OR(H716=0,H716=6),"Weekend","Weekday")</f>
        <v>Weekday</v>
      </c>
      <c r="T716" s="1" t="str">
        <f>VLOOKUP(I716,[1]Lookup!$D$2:$E$5,2,FALSE)</f>
        <v>Mist / Cloudy</v>
      </c>
      <c r="U716" s="1" t="str">
        <f>IF(F716&lt;6,"Night",
IF(F716&lt;12,"Morning",
IF(F716&lt;17,"Afternoon",
IF(F716&lt;21,"Evening","Night"))))</f>
        <v>Afternoon</v>
      </c>
      <c r="V716" s="1" t="str">
        <f>IF(J716&lt;0.3,"Cold",
IF(J716&lt;0.6,"Pleasant","Hot"))</f>
        <v>Cold</v>
      </c>
      <c r="W716" s="1" t="str">
        <f>IF(L716&lt;0.4,"Low",
IF(L716&lt;0.7,"Medium","High"))</f>
        <v>High</v>
      </c>
      <c r="X716" s="1" t="str">
        <f>IF(M716&lt;0.2,"Low",
IF(M716&lt;0.4,"Medium","High"))</f>
        <v>Medium</v>
      </c>
      <c r="Y716" s="1" t="str">
        <f>IF(P716&lt;100,"Low",
IF(P716&lt;300,"Medium","High"))</f>
        <v>Low</v>
      </c>
    </row>
    <row r="717" spans="1:25" x14ac:dyDescent="0.3">
      <c r="A717">
        <v>725</v>
      </c>
      <c r="B717" s="2">
        <v>40576</v>
      </c>
      <c r="C717">
        <v>1</v>
      </c>
      <c r="D717">
        <v>0</v>
      </c>
      <c r="E717">
        <v>2</v>
      </c>
      <c r="F717">
        <v>13</v>
      </c>
      <c r="G717" t="b">
        <v>0</v>
      </c>
      <c r="H717">
        <v>3</v>
      </c>
      <c r="I717">
        <v>1</v>
      </c>
      <c r="J717">
        <v>0.34</v>
      </c>
      <c r="K717">
        <v>0.33329999999999999</v>
      </c>
      <c r="L717">
        <v>0.93</v>
      </c>
      <c r="M717">
        <v>0.16420000000000001</v>
      </c>
      <c r="N717">
        <v>1</v>
      </c>
      <c r="O717">
        <v>74</v>
      </c>
      <c r="P717">
        <v>75</v>
      </c>
      <c r="Q717" t="str">
        <f>VLOOKUP(MasterData[[#This Row],[season]],[1]Lookup!$A$2:$B$5,2,FALSE)</f>
        <v>Spring</v>
      </c>
      <c r="R717" t="str">
        <f>TEXT(DATE(2026,E717,1),"mmmm")</f>
        <v>February</v>
      </c>
      <c r="S717" t="str">
        <f>IF(OR(H717=0,H717=6),"Weekend","Weekday")</f>
        <v>Weekday</v>
      </c>
      <c r="T717" s="1" t="str">
        <f>VLOOKUP(I717,[1]Lookup!$D$2:$E$5,2,FALSE)</f>
        <v>Clear</v>
      </c>
      <c r="U717" s="1" t="str">
        <f>IF(F717&lt;6,"Night",
IF(F717&lt;12,"Morning",
IF(F717&lt;17,"Afternoon",
IF(F717&lt;21,"Evening","Night"))))</f>
        <v>Afternoon</v>
      </c>
      <c r="V717" s="1" t="str">
        <f>IF(J717&lt;0.3,"Cold",
IF(J717&lt;0.6,"Pleasant","Hot"))</f>
        <v>Pleasant</v>
      </c>
      <c r="W717" s="1" t="str">
        <f>IF(L717&lt;0.4,"Low",
IF(L717&lt;0.7,"Medium","High"))</f>
        <v>High</v>
      </c>
      <c r="X717" s="1" t="str">
        <f>IF(M717&lt;0.2,"Low",
IF(M717&lt;0.4,"Medium","High"))</f>
        <v>Low</v>
      </c>
      <c r="Y717" s="1" t="str">
        <f>IF(P717&lt;100,"Low",
IF(P717&lt;300,"Medium","High"))</f>
        <v>Low</v>
      </c>
    </row>
    <row r="718" spans="1:25" x14ac:dyDescent="0.3">
      <c r="A718">
        <v>726</v>
      </c>
      <c r="B718" s="2">
        <v>40576</v>
      </c>
      <c r="C718">
        <v>1</v>
      </c>
      <c r="D718">
        <v>0</v>
      </c>
      <c r="E718">
        <v>2</v>
      </c>
      <c r="F718">
        <v>14</v>
      </c>
      <c r="G718" t="b">
        <v>0</v>
      </c>
      <c r="H718">
        <v>3</v>
      </c>
      <c r="I718">
        <v>1</v>
      </c>
      <c r="J718">
        <v>0.38</v>
      </c>
      <c r="K718">
        <v>0.39389999999999997</v>
      </c>
      <c r="L718">
        <v>0.82</v>
      </c>
      <c r="M718">
        <v>0.3881</v>
      </c>
      <c r="N718">
        <v>2</v>
      </c>
      <c r="O718">
        <v>61</v>
      </c>
      <c r="P718">
        <v>63</v>
      </c>
      <c r="Q718" t="str">
        <f>VLOOKUP(MasterData[[#This Row],[season]],[1]Lookup!$A$2:$B$5,2,FALSE)</f>
        <v>Spring</v>
      </c>
      <c r="R718" t="str">
        <f>TEXT(DATE(2026,E718,1),"mmmm")</f>
        <v>February</v>
      </c>
      <c r="S718" t="str">
        <f>IF(OR(H718=0,H718=6),"Weekend","Weekday")</f>
        <v>Weekday</v>
      </c>
      <c r="T718" s="1" t="str">
        <f>VLOOKUP(I718,[1]Lookup!$D$2:$E$5,2,FALSE)</f>
        <v>Clear</v>
      </c>
      <c r="U718" s="1" t="str">
        <f>IF(F718&lt;6,"Night",
IF(F718&lt;12,"Morning",
IF(F718&lt;17,"Afternoon",
IF(F718&lt;21,"Evening","Night"))))</f>
        <v>Afternoon</v>
      </c>
      <c r="V718" s="1" t="str">
        <f>IF(J718&lt;0.3,"Cold",
IF(J718&lt;0.6,"Pleasant","Hot"))</f>
        <v>Pleasant</v>
      </c>
      <c r="W718" s="1" t="str">
        <f>IF(L718&lt;0.4,"Low",
IF(L718&lt;0.7,"Medium","High"))</f>
        <v>High</v>
      </c>
      <c r="X718" s="1" t="str">
        <f>IF(M718&lt;0.2,"Low",
IF(M718&lt;0.4,"Medium","High"))</f>
        <v>Medium</v>
      </c>
      <c r="Y718" s="1" t="str">
        <f>IF(P718&lt;100,"Low",
IF(P718&lt;300,"Medium","High"))</f>
        <v>Low</v>
      </c>
    </row>
    <row r="719" spans="1:25" x14ac:dyDescent="0.3">
      <c r="A719">
        <v>727</v>
      </c>
      <c r="B719" s="2">
        <v>40576</v>
      </c>
      <c r="C719">
        <v>1</v>
      </c>
      <c r="D719">
        <v>0</v>
      </c>
      <c r="E719">
        <v>2</v>
      </c>
      <c r="F719">
        <v>15</v>
      </c>
      <c r="G719" t="b">
        <v>0</v>
      </c>
      <c r="H719">
        <v>3</v>
      </c>
      <c r="I719">
        <v>1</v>
      </c>
      <c r="J719">
        <v>0.38</v>
      </c>
      <c r="K719">
        <v>0.39389999999999997</v>
      </c>
      <c r="L719">
        <v>0.76</v>
      </c>
      <c r="M719">
        <v>0.32840000000000003</v>
      </c>
      <c r="N719">
        <v>10</v>
      </c>
      <c r="O719">
        <v>66</v>
      </c>
      <c r="P719">
        <v>76</v>
      </c>
      <c r="Q719" t="str">
        <f>VLOOKUP(MasterData[[#This Row],[season]],[1]Lookup!$A$2:$B$5,2,FALSE)</f>
        <v>Spring</v>
      </c>
      <c r="R719" t="str">
        <f>TEXT(DATE(2026,E719,1),"mmmm")</f>
        <v>February</v>
      </c>
      <c r="S719" t="str">
        <f>IF(OR(H719=0,H719=6),"Weekend","Weekday")</f>
        <v>Weekday</v>
      </c>
      <c r="T719" s="1" t="str">
        <f>VLOOKUP(I719,[1]Lookup!$D$2:$E$5,2,FALSE)</f>
        <v>Clear</v>
      </c>
      <c r="U719" s="1" t="str">
        <f>IF(F719&lt;6,"Night",
IF(F719&lt;12,"Morning",
IF(F719&lt;17,"Afternoon",
IF(F719&lt;21,"Evening","Night"))))</f>
        <v>Afternoon</v>
      </c>
      <c r="V719" s="1" t="str">
        <f>IF(J719&lt;0.3,"Cold",
IF(J719&lt;0.6,"Pleasant","Hot"))</f>
        <v>Pleasant</v>
      </c>
      <c r="W719" s="1" t="str">
        <f>IF(L719&lt;0.4,"Low",
IF(L719&lt;0.7,"Medium","High"))</f>
        <v>High</v>
      </c>
      <c r="X719" s="1" t="str">
        <f>IF(M719&lt;0.2,"Low",
IF(M719&lt;0.4,"Medium","High"))</f>
        <v>Medium</v>
      </c>
      <c r="Y719" s="1" t="str">
        <f>IF(P719&lt;100,"Low",
IF(P719&lt;300,"Medium","High"))</f>
        <v>Low</v>
      </c>
    </row>
    <row r="720" spans="1:25" x14ac:dyDescent="0.3">
      <c r="A720">
        <v>728</v>
      </c>
      <c r="B720" s="2">
        <v>40576</v>
      </c>
      <c r="C720">
        <v>1</v>
      </c>
      <c r="D720">
        <v>0</v>
      </c>
      <c r="E720">
        <v>2</v>
      </c>
      <c r="F720">
        <v>16</v>
      </c>
      <c r="G720" t="b">
        <v>0</v>
      </c>
      <c r="H720">
        <v>3</v>
      </c>
      <c r="I720">
        <v>1</v>
      </c>
      <c r="J720">
        <v>0.36</v>
      </c>
      <c r="K720">
        <v>0.33329999999999999</v>
      </c>
      <c r="L720">
        <v>0.71</v>
      </c>
      <c r="M720">
        <v>0.29849999999999999</v>
      </c>
      <c r="N720">
        <v>8</v>
      </c>
      <c r="O720">
        <v>95</v>
      </c>
      <c r="P720">
        <v>103</v>
      </c>
      <c r="Q720" t="str">
        <f>VLOOKUP(MasterData[[#This Row],[season]],[1]Lookup!$A$2:$B$5,2,FALSE)</f>
        <v>Spring</v>
      </c>
      <c r="R720" t="str">
        <f>TEXT(DATE(2026,E720,1),"mmmm")</f>
        <v>February</v>
      </c>
      <c r="S720" t="str">
        <f>IF(OR(H720=0,H720=6),"Weekend","Weekday")</f>
        <v>Weekday</v>
      </c>
      <c r="T720" s="1" t="str">
        <f>VLOOKUP(I720,[1]Lookup!$D$2:$E$5,2,FALSE)</f>
        <v>Clear</v>
      </c>
      <c r="U720" s="1" t="str">
        <f>IF(F720&lt;6,"Night",
IF(F720&lt;12,"Morning",
IF(F720&lt;17,"Afternoon",
IF(F720&lt;21,"Evening","Night"))))</f>
        <v>Afternoon</v>
      </c>
      <c r="V720" s="1" t="str">
        <f>IF(J720&lt;0.3,"Cold",
IF(J720&lt;0.6,"Pleasant","Hot"))</f>
        <v>Pleasant</v>
      </c>
      <c r="W720" s="1" t="str">
        <f>IF(L720&lt;0.4,"Low",
IF(L720&lt;0.7,"Medium","High"))</f>
        <v>High</v>
      </c>
      <c r="X720" s="1" t="str">
        <f>IF(M720&lt;0.2,"Low",
IF(M720&lt;0.4,"Medium","High"))</f>
        <v>Medium</v>
      </c>
      <c r="Y720" s="1" t="str">
        <f>IF(P720&lt;100,"Low",
IF(P720&lt;300,"Medium","High"))</f>
        <v>Medium</v>
      </c>
    </row>
    <row r="721" spans="1:25" x14ac:dyDescent="0.3">
      <c r="A721">
        <v>729</v>
      </c>
      <c r="B721" s="2">
        <v>40576</v>
      </c>
      <c r="C721">
        <v>1</v>
      </c>
      <c r="D721">
        <v>0</v>
      </c>
      <c r="E721">
        <v>2</v>
      </c>
      <c r="F721">
        <v>17</v>
      </c>
      <c r="G721" t="b">
        <v>0</v>
      </c>
      <c r="H721">
        <v>3</v>
      </c>
      <c r="I721">
        <v>1</v>
      </c>
      <c r="J721">
        <v>0.36</v>
      </c>
      <c r="K721">
        <v>0.31819999999999998</v>
      </c>
      <c r="L721">
        <v>0.53</v>
      </c>
      <c r="M721">
        <v>0.52239999999999998</v>
      </c>
      <c r="N721">
        <v>7</v>
      </c>
      <c r="O721">
        <v>183</v>
      </c>
      <c r="P721">
        <v>190</v>
      </c>
      <c r="Q721" t="str">
        <f>VLOOKUP(MasterData[[#This Row],[season]],[1]Lookup!$A$2:$B$5,2,FALSE)</f>
        <v>Spring</v>
      </c>
      <c r="R721" t="str">
        <f>TEXT(DATE(2026,E721,1),"mmmm")</f>
        <v>February</v>
      </c>
      <c r="S721" t="str">
        <f>IF(OR(H721=0,H721=6),"Weekend","Weekday")</f>
        <v>Weekday</v>
      </c>
      <c r="T721" s="1" t="str">
        <f>VLOOKUP(I721,[1]Lookup!$D$2:$E$5,2,FALSE)</f>
        <v>Clear</v>
      </c>
      <c r="U721" s="1" t="str">
        <f>IF(F721&lt;6,"Night",
IF(F721&lt;12,"Morning",
IF(F721&lt;17,"Afternoon",
IF(F721&lt;21,"Evening","Night"))))</f>
        <v>Evening</v>
      </c>
      <c r="V721" s="1" t="str">
        <f>IF(J721&lt;0.3,"Cold",
IF(J721&lt;0.6,"Pleasant","Hot"))</f>
        <v>Pleasant</v>
      </c>
      <c r="W721" s="1" t="str">
        <f>IF(L721&lt;0.4,"Low",
IF(L721&lt;0.7,"Medium","High"))</f>
        <v>Medium</v>
      </c>
      <c r="X721" s="1" t="str">
        <f>IF(M721&lt;0.2,"Low",
IF(M721&lt;0.4,"Medium","High"))</f>
        <v>High</v>
      </c>
      <c r="Y721" s="1" t="str">
        <f>IF(P721&lt;100,"Low",
IF(P721&lt;300,"Medium","High"))</f>
        <v>Medium</v>
      </c>
    </row>
    <row r="722" spans="1:25" x14ac:dyDescent="0.3">
      <c r="A722">
        <v>730</v>
      </c>
      <c r="B722" s="2">
        <v>40576</v>
      </c>
      <c r="C722">
        <v>1</v>
      </c>
      <c r="D722">
        <v>0</v>
      </c>
      <c r="E722">
        <v>2</v>
      </c>
      <c r="F722">
        <v>18</v>
      </c>
      <c r="G722" t="b">
        <v>0</v>
      </c>
      <c r="H722">
        <v>3</v>
      </c>
      <c r="I722">
        <v>1</v>
      </c>
      <c r="J722">
        <v>0.34</v>
      </c>
      <c r="K722">
        <v>0.28789999999999999</v>
      </c>
      <c r="L722">
        <v>0.42</v>
      </c>
      <c r="M722">
        <v>0.55220000000000002</v>
      </c>
      <c r="N722">
        <v>7</v>
      </c>
      <c r="O722">
        <v>175</v>
      </c>
      <c r="P722">
        <v>182</v>
      </c>
      <c r="Q722" t="str">
        <f>VLOOKUP(MasterData[[#This Row],[season]],[1]Lookup!$A$2:$B$5,2,FALSE)</f>
        <v>Spring</v>
      </c>
      <c r="R722" t="str">
        <f>TEXT(DATE(2026,E722,1),"mmmm")</f>
        <v>February</v>
      </c>
      <c r="S722" t="str">
        <f>IF(OR(H722=0,H722=6),"Weekend","Weekday")</f>
        <v>Weekday</v>
      </c>
      <c r="T722" s="1" t="str">
        <f>VLOOKUP(I722,[1]Lookup!$D$2:$E$5,2,FALSE)</f>
        <v>Clear</v>
      </c>
      <c r="U722" s="1" t="str">
        <f>IF(F722&lt;6,"Night",
IF(F722&lt;12,"Morning",
IF(F722&lt;17,"Afternoon",
IF(F722&lt;21,"Evening","Night"))))</f>
        <v>Evening</v>
      </c>
      <c r="V722" s="1" t="str">
        <f>IF(J722&lt;0.3,"Cold",
IF(J722&lt;0.6,"Pleasant","Hot"))</f>
        <v>Pleasant</v>
      </c>
      <c r="W722" s="1" t="str">
        <f>IF(L722&lt;0.4,"Low",
IF(L722&lt;0.7,"Medium","High"))</f>
        <v>Medium</v>
      </c>
      <c r="X722" s="1" t="str">
        <f>IF(M722&lt;0.2,"Low",
IF(M722&lt;0.4,"Medium","High"))</f>
        <v>High</v>
      </c>
      <c r="Y722" s="1" t="str">
        <f>IF(P722&lt;100,"Low",
IF(P722&lt;300,"Medium","High"))</f>
        <v>Medium</v>
      </c>
    </row>
    <row r="723" spans="1:25" x14ac:dyDescent="0.3">
      <c r="A723">
        <v>731</v>
      </c>
      <c r="B723" s="2">
        <v>40576</v>
      </c>
      <c r="C723">
        <v>1</v>
      </c>
      <c r="D723">
        <v>0</v>
      </c>
      <c r="E723">
        <v>2</v>
      </c>
      <c r="F723">
        <v>19</v>
      </c>
      <c r="G723" t="b">
        <v>0</v>
      </c>
      <c r="H723">
        <v>3</v>
      </c>
      <c r="I723">
        <v>1</v>
      </c>
      <c r="J723">
        <v>0.28000000000000003</v>
      </c>
      <c r="K723">
        <v>0.2424</v>
      </c>
      <c r="L723">
        <v>0.45</v>
      </c>
      <c r="M723">
        <v>0.49249999999999999</v>
      </c>
      <c r="N723">
        <v>3</v>
      </c>
      <c r="O723">
        <v>88</v>
      </c>
      <c r="P723">
        <v>91</v>
      </c>
      <c r="Q723" t="str">
        <f>VLOOKUP(MasterData[[#This Row],[season]],[1]Lookup!$A$2:$B$5,2,FALSE)</f>
        <v>Spring</v>
      </c>
      <c r="R723" t="str">
        <f>TEXT(DATE(2026,E723,1),"mmmm")</f>
        <v>February</v>
      </c>
      <c r="S723" t="str">
        <f>IF(OR(H723=0,H723=6),"Weekend","Weekday")</f>
        <v>Weekday</v>
      </c>
      <c r="T723" s="1" t="str">
        <f>VLOOKUP(I723,[1]Lookup!$D$2:$E$5,2,FALSE)</f>
        <v>Clear</v>
      </c>
      <c r="U723" s="1" t="str">
        <f>IF(F723&lt;6,"Night",
IF(F723&lt;12,"Morning",
IF(F723&lt;17,"Afternoon",
IF(F723&lt;21,"Evening","Night"))))</f>
        <v>Evening</v>
      </c>
      <c r="V723" s="1" t="str">
        <f>IF(J723&lt;0.3,"Cold",
IF(J723&lt;0.6,"Pleasant","Hot"))</f>
        <v>Cold</v>
      </c>
      <c r="W723" s="1" t="str">
        <f>IF(L723&lt;0.4,"Low",
IF(L723&lt;0.7,"Medium","High"))</f>
        <v>Medium</v>
      </c>
      <c r="X723" s="1" t="str">
        <f>IF(M723&lt;0.2,"Low",
IF(M723&lt;0.4,"Medium","High"))</f>
        <v>High</v>
      </c>
      <c r="Y723" s="1" t="str">
        <f>IF(P723&lt;100,"Low",
IF(P723&lt;300,"Medium","High"))</f>
        <v>Low</v>
      </c>
    </row>
    <row r="724" spans="1:25" x14ac:dyDescent="0.3">
      <c r="A724">
        <v>732</v>
      </c>
      <c r="B724" s="2">
        <v>40576</v>
      </c>
      <c r="C724">
        <v>1</v>
      </c>
      <c r="D724">
        <v>0</v>
      </c>
      <c r="E724">
        <v>2</v>
      </c>
      <c r="F724">
        <v>20</v>
      </c>
      <c r="G724" t="b">
        <v>0</v>
      </c>
      <c r="H724">
        <v>3</v>
      </c>
      <c r="I724">
        <v>1</v>
      </c>
      <c r="J724">
        <v>0.24</v>
      </c>
      <c r="K724">
        <v>0.19700000000000001</v>
      </c>
      <c r="L724">
        <v>0.48</v>
      </c>
      <c r="M724">
        <v>0.55220000000000002</v>
      </c>
      <c r="N724">
        <v>4</v>
      </c>
      <c r="O724">
        <v>71</v>
      </c>
      <c r="P724">
        <v>75</v>
      </c>
      <c r="Q724" t="str">
        <f>VLOOKUP(MasterData[[#This Row],[season]],[1]Lookup!$A$2:$B$5,2,FALSE)</f>
        <v>Spring</v>
      </c>
      <c r="R724" t="str">
        <f>TEXT(DATE(2026,E724,1),"mmmm")</f>
        <v>February</v>
      </c>
      <c r="S724" t="str">
        <f>IF(OR(H724=0,H724=6),"Weekend","Weekday")</f>
        <v>Weekday</v>
      </c>
      <c r="T724" s="1" t="str">
        <f>VLOOKUP(I724,[1]Lookup!$D$2:$E$5,2,FALSE)</f>
        <v>Clear</v>
      </c>
      <c r="U724" s="1" t="str">
        <f>IF(F724&lt;6,"Night",
IF(F724&lt;12,"Morning",
IF(F724&lt;17,"Afternoon",
IF(F724&lt;21,"Evening","Night"))))</f>
        <v>Evening</v>
      </c>
      <c r="V724" s="1" t="str">
        <f>IF(J724&lt;0.3,"Cold",
IF(J724&lt;0.6,"Pleasant","Hot"))</f>
        <v>Cold</v>
      </c>
      <c r="W724" s="1" t="str">
        <f>IF(L724&lt;0.4,"Low",
IF(L724&lt;0.7,"Medium","High"))</f>
        <v>Medium</v>
      </c>
      <c r="X724" s="1" t="str">
        <f>IF(M724&lt;0.2,"Low",
IF(M724&lt;0.4,"Medium","High"))</f>
        <v>High</v>
      </c>
      <c r="Y724" s="1" t="str">
        <f>IF(P724&lt;100,"Low",
IF(P724&lt;300,"Medium","High"))</f>
        <v>Low</v>
      </c>
    </row>
    <row r="725" spans="1:25" x14ac:dyDescent="0.3">
      <c r="A725">
        <v>733</v>
      </c>
      <c r="B725" s="2">
        <v>40576</v>
      </c>
      <c r="C725">
        <v>1</v>
      </c>
      <c r="D725">
        <v>0</v>
      </c>
      <c r="E725">
        <v>2</v>
      </c>
      <c r="F725">
        <v>21</v>
      </c>
      <c r="G725" t="b">
        <v>0</v>
      </c>
      <c r="H725">
        <v>3</v>
      </c>
      <c r="I725">
        <v>1</v>
      </c>
      <c r="J725">
        <v>0.22</v>
      </c>
      <c r="K725">
        <v>0.19700000000000001</v>
      </c>
      <c r="L725">
        <v>0.47</v>
      </c>
      <c r="M725">
        <v>0.32840000000000003</v>
      </c>
      <c r="N725">
        <v>1</v>
      </c>
      <c r="O725">
        <v>62</v>
      </c>
      <c r="P725">
        <v>63</v>
      </c>
      <c r="Q725" t="str">
        <f>VLOOKUP(MasterData[[#This Row],[season]],[1]Lookup!$A$2:$B$5,2,FALSE)</f>
        <v>Spring</v>
      </c>
      <c r="R725" t="str">
        <f>TEXT(DATE(2026,E725,1),"mmmm")</f>
        <v>February</v>
      </c>
      <c r="S725" t="str">
        <f>IF(OR(H725=0,H725=6),"Weekend","Weekday")</f>
        <v>Weekday</v>
      </c>
      <c r="T725" s="1" t="str">
        <f>VLOOKUP(I725,[1]Lookup!$D$2:$E$5,2,FALSE)</f>
        <v>Clear</v>
      </c>
      <c r="U725" s="1" t="str">
        <f>IF(F725&lt;6,"Night",
IF(F725&lt;12,"Morning",
IF(F725&lt;17,"Afternoon",
IF(F725&lt;21,"Evening","Night"))))</f>
        <v>Night</v>
      </c>
      <c r="V725" s="1" t="str">
        <f>IF(J725&lt;0.3,"Cold",
IF(J725&lt;0.6,"Pleasant","Hot"))</f>
        <v>Cold</v>
      </c>
      <c r="W725" s="1" t="str">
        <f>IF(L725&lt;0.4,"Low",
IF(L725&lt;0.7,"Medium","High"))</f>
        <v>Medium</v>
      </c>
      <c r="X725" s="1" t="str">
        <f>IF(M725&lt;0.2,"Low",
IF(M725&lt;0.4,"Medium","High"))</f>
        <v>Medium</v>
      </c>
      <c r="Y725" s="1" t="str">
        <f>IF(P725&lt;100,"Low",
IF(P725&lt;300,"Medium","High"))</f>
        <v>Low</v>
      </c>
    </row>
    <row r="726" spans="1:25" x14ac:dyDescent="0.3">
      <c r="A726">
        <v>734</v>
      </c>
      <c r="B726" s="2">
        <v>40576</v>
      </c>
      <c r="C726">
        <v>1</v>
      </c>
      <c r="D726">
        <v>0</v>
      </c>
      <c r="E726">
        <v>2</v>
      </c>
      <c r="F726">
        <v>22</v>
      </c>
      <c r="G726" t="b">
        <v>0</v>
      </c>
      <c r="H726">
        <v>3</v>
      </c>
      <c r="I726">
        <v>1</v>
      </c>
      <c r="J726">
        <v>0.22</v>
      </c>
      <c r="K726">
        <v>0.21210000000000001</v>
      </c>
      <c r="L726">
        <v>0.44</v>
      </c>
      <c r="M726">
        <v>0.25369999999999998</v>
      </c>
      <c r="N726">
        <v>5</v>
      </c>
      <c r="O726">
        <v>35</v>
      </c>
      <c r="P726">
        <v>40</v>
      </c>
      <c r="Q726" t="str">
        <f>VLOOKUP(MasterData[[#This Row],[season]],[1]Lookup!$A$2:$B$5,2,FALSE)</f>
        <v>Spring</v>
      </c>
      <c r="R726" t="str">
        <f>TEXT(DATE(2026,E726,1),"mmmm")</f>
        <v>February</v>
      </c>
      <c r="S726" t="str">
        <f>IF(OR(H726=0,H726=6),"Weekend","Weekday")</f>
        <v>Weekday</v>
      </c>
      <c r="T726" s="1" t="str">
        <f>VLOOKUP(I726,[1]Lookup!$D$2:$E$5,2,FALSE)</f>
        <v>Clear</v>
      </c>
      <c r="U726" s="1" t="str">
        <f>IF(F726&lt;6,"Night",
IF(F726&lt;12,"Morning",
IF(F726&lt;17,"Afternoon",
IF(F726&lt;21,"Evening","Night"))))</f>
        <v>Night</v>
      </c>
      <c r="V726" s="1" t="str">
        <f>IF(J726&lt;0.3,"Cold",
IF(J726&lt;0.6,"Pleasant","Hot"))</f>
        <v>Cold</v>
      </c>
      <c r="W726" s="1" t="str">
        <f>IF(L726&lt;0.4,"Low",
IF(L726&lt;0.7,"Medium","High"))</f>
        <v>Medium</v>
      </c>
      <c r="X726" s="1" t="str">
        <f>IF(M726&lt;0.2,"Low",
IF(M726&lt;0.4,"Medium","High"))</f>
        <v>Medium</v>
      </c>
      <c r="Y726" s="1" t="str">
        <f>IF(P726&lt;100,"Low",
IF(P726&lt;300,"Medium","High"))</f>
        <v>Low</v>
      </c>
    </row>
    <row r="727" spans="1:25" x14ac:dyDescent="0.3">
      <c r="A727">
        <v>735</v>
      </c>
      <c r="B727" s="2">
        <v>40576</v>
      </c>
      <c r="C727">
        <v>1</v>
      </c>
      <c r="D727">
        <v>0</v>
      </c>
      <c r="E727">
        <v>2</v>
      </c>
      <c r="F727">
        <v>23</v>
      </c>
      <c r="G727" t="b">
        <v>0</v>
      </c>
      <c r="H727">
        <v>3</v>
      </c>
      <c r="I727">
        <v>1</v>
      </c>
      <c r="J727">
        <v>0.2</v>
      </c>
      <c r="K727">
        <v>0.16669999999999999</v>
      </c>
      <c r="L727">
        <v>0.44</v>
      </c>
      <c r="M727">
        <v>0.44779999999999998</v>
      </c>
      <c r="N727">
        <v>3</v>
      </c>
      <c r="O727">
        <v>29</v>
      </c>
      <c r="P727">
        <v>32</v>
      </c>
      <c r="Q727" t="str">
        <f>VLOOKUP(MasterData[[#This Row],[season]],[1]Lookup!$A$2:$B$5,2,FALSE)</f>
        <v>Spring</v>
      </c>
      <c r="R727" t="str">
        <f>TEXT(DATE(2026,E727,1),"mmmm")</f>
        <v>February</v>
      </c>
      <c r="S727" t="str">
        <f>IF(OR(H727=0,H727=6),"Weekend","Weekday")</f>
        <v>Weekday</v>
      </c>
      <c r="T727" s="1" t="str">
        <f>VLOOKUP(I727,[1]Lookup!$D$2:$E$5,2,FALSE)</f>
        <v>Clear</v>
      </c>
      <c r="U727" s="1" t="str">
        <f>IF(F727&lt;6,"Night",
IF(F727&lt;12,"Morning",
IF(F727&lt;17,"Afternoon",
IF(F727&lt;21,"Evening","Night"))))</f>
        <v>Night</v>
      </c>
      <c r="V727" s="1" t="str">
        <f>IF(J727&lt;0.3,"Cold",
IF(J727&lt;0.6,"Pleasant","Hot"))</f>
        <v>Cold</v>
      </c>
      <c r="W727" s="1" t="str">
        <f>IF(L727&lt;0.4,"Low",
IF(L727&lt;0.7,"Medium","High"))</f>
        <v>Medium</v>
      </c>
      <c r="X727" s="1" t="str">
        <f>IF(M727&lt;0.2,"Low",
IF(M727&lt;0.4,"Medium","High"))</f>
        <v>High</v>
      </c>
      <c r="Y727" s="1" t="str">
        <f>IF(P727&lt;100,"Low",
IF(P727&lt;300,"Medium","High"))</f>
        <v>Low</v>
      </c>
    </row>
    <row r="728" spans="1:25" x14ac:dyDescent="0.3">
      <c r="A728">
        <v>736</v>
      </c>
      <c r="B728" s="2">
        <v>40577</v>
      </c>
      <c r="C728">
        <v>1</v>
      </c>
      <c r="D728">
        <v>0</v>
      </c>
      <c r="E728">
        <v>2</v>
      </c>
      <c r="F728">
        <v>0</v>
      </c>
      <c r="G728" t="b">
        <v>0</v>
      </c>
      <c r="H728">
        <v>4</v>
      </c>
      <c r="I728">
        <v>1</v>
      </c>
      <c r="J728">
        <v>0.2</v>
      </c>
      <c r="K728">
        <v>0.16669999999999999</v>
      </c>
      <c r="L728">
        <v>0.4</v>
      </c>
      <c r="M728">
        <v>0.44779999999999998</v>
      </c>
      <c r="N728">
        <v>1</v>
      </c>
      <c r="O728">
        <v>11</v>
      </c>
      <c r="P728">
        <v>12</v>
      </c>
      <c r="Q728" t="str">
        <f>VLOOKUP(MasterData[[#This Row],[season]],[1]Lookup!$A$2:$B$5,2,FALSE)</f>
        <v>Spring</v>
      </c>
      <c r="R728" t="str">
        <f>TEXT(DATE(2026,E728,1),"mmmm")</f>
        <v>February</v>
      </c>
      <c r="S728" t="str">
        <f>IF(OR(H728=0,H728=6),"Weekend","Weekday")</f>
        <v>Weekday</v>
      </c>
      <c r="T728" s="1" t="str">
        <f>VLOOKUP(I728,[1]Lookup!$D$2:$E$5,2,FALSE)</f>
        <v>Clear</v>
      </c>
      <c r="U728" s="1" t="str">
        <f>IF(F728&lt;6,"Night",
IF(F728&lt;12,"Morning",
IF(F728&lt;17,"Afternoon",
IF(F728&lt;21,"Evening","Night"))))</f>
        <v>Night</v>
      </c>
      <c r="V728" s="1" t="str">
        <f>IF(J728&lt;0.3,"Cold",
IF(J728&lt;0.6,"Pleasant","Hot"))</f>
        <v>Cold</v>
      </c>
      <c r="W728" s="1" t="str">
        <f>IF(L728&lt;0.4,"Low",
IF(L728&lt;0.7,"Medium","High"))</f>
        <v>Medium</v>
      </c>
      <c r="X728" s="1" t="str">
        <f>IF(M728&lt;0.2,"Low",
IF(M728&lt;0.4,"Medium","High"))</f>
        <v>High</v>
      </c>
      <c r="Y728" s="1" t="str">
        <f>IF(P728&lt;100,"Low",
IF(P728&lt;300,"Medium","High"))</f>
        <v>Low</v>
      </c>
    </row>
    <row r="729" spans="1:25" x14ac:dyDescent="0.3">
      <c r="A729">
        <v>737</v>
      </c>
      <c r="B729" s="2">
        <v>40577</v>
      </c>
      <c r="C729">
        <v>1</v>
      </c>
      <c r="D729">
        <v>0</v>
      </c>
      <c r="E729">
        <v>2</v>
      </c>
      <c r="F729">
        <v>1</v>
      </c>
      <c r="G729" t="b">
        <v>0</v>
      </c>
      <c r="H729">
        <v>4</v>
      </c>
      <c r="I729">
        <v>1</v>
      </c>
      <c r="J729">
        <v>0.2</v>
      </c>
      <c r="K729">
        <v>0.1515</v>
      </c>
      <c r="L729">
        <v>0.44</v>
      </c>
      <c r="M729">
        <v>0.52239999999999998</v>
      </c>
      <c r="N729">
        <v>0</v>
      </c>
      <c r="O729">
        <v>5</v>
      </c>
      <c r="P729">
        <v>5</v>
      </c>
      <c r="Q729" t="str">
        <f>VLOOKUP(MasterData[[#This Row],[season]],[1]Lookup!$A$2:$B$5,2,FALSE)</f>
        <v>Spring</v>
      </c>
      <c r="R729" t="str">
        <f>TEXT(DATE(2026,E729,1),"mmmm")</f>
        <v>February</v>
      </c>
      <c r="S729" t="str">
        <f>IF(OR(H729=0,H729=6),"Weekend","Weekday")</f>
        <v>Weekday</v>
      </c>
      <c r="T729" s="1" t="str">
        <f>VLOOKUP(I729,[1]Lookup!$D$2:$E$5,2,FALSE)</f>
        <v>Clear</v>
      </c>
      <c r="U729" s="1" t="str">
        <f>IF(F729&lt;6,"Night",
IF(F729&lt;12,"Morning",
IF(F729&lt;17,"Afternoon",
IF(F729&lt;21,"Evening","Night"))))</f>
        <v>Night</v>
      </c>
      <c r="V729" s="1" t="str">
        <f>IF(J729&lt;0.3,"Cold",
IF(J729&lt;0.6,"Pleasant","Hot"))</f>
        <v>Cold</v>
      </c>
      <c r="W729" s="1" t="str">
        <f>IF(L729&lt;0.4,"Low",
IF(L729&lt;0.7,"Medium","High"))</f>
        <v>Medium</v>
      </c>
      <c r="X729" s="1" t="str">
        <f>IF(M729&lt;0.2,"Low",
IF(M729&lt;0.4,"Medium","High"))</f>
        <v>High</v>
      </c>
      <c r="Y729" s="1" t="str">
        <f>IF(P729&lt;100,"Low",
IF(P729&lt;300,"Medium","High"))</f>
        <v>Low</v>
      </c>
    </row>
    <row r="730" spans="1:25" x14ac:dyDescent="0.3">
      <c r="A730">
        <v>738</v>
      </c>
      <c r="B730" s="2">
        <v>40577</v>
      </c>
      <c r="C730">
        <v>1</v>
      </c>
      <c r="D730">
        <v>0</v>
      </c>
      <c r="E730">
        <v>2</v>
      </c>
      <c r="F730">
        <v>2</v>
      </c>
      <c r="G730" t="b">
        <v>0</v>
      </c>
      <c r="H730">
        <v>4</v>
      </c>
      <c r="I730">
        <v>1</v>
      </c>
      <c r="J730">
        <v>0.18</v>
      </c>
      <c r="K730">
        <v>0.16669999999999999</v>
      </c>
      <c r="L730">
        <v>0.43</v>
      </c>
      <c r="M730">
        <v>0.25369999999999998</v>
      </c>
      <c r="N730">
        <v>0</v>
      </c>
      <c r="O730">
        <v>2</v>
      </c>
      <c r="P730">
        <v>2</v>
      </c>
      <c r="Q730" t="str">
        <f>VLOOKUP(MasterData[[#This Row],[season]],[1]Lookup!$A$2:$B$5,2,FALSE)</f>
        <v>Spring</v>
      </c>
      <c r="R730" t="str">
        <f>TEXT(DATE(2026,E730,1),"mmmm")</f>
        <v>February</v>
      </c>
      <c r="S730" t="str">
        <f>IF(OR(H730=0,H730=6),"Weekend","Weekday")</f>
        <v>Weekday</v>
      </c>
      <c r="T730" s="1" t="str">
        <f>VLOOKUP(I730,[1]Lookup!$D$2:$E$5,2,FALSE)</f>
        <v>Clear</v>
      </c>
      <c r="U730" s="1" t="str">
        <f>IF(F730&lt;6,"Night",
IF(F730&lt;12,"Morning",
IF(F730&lt;17,"Afternoon",
IF(F730&lt;21,"Evening","Night"))))</f>
        <v>Night</v>
      </c>
      <c r="V730" s="1" t="str">
        <f>IF(J730&lt;0.3,"Cold",
IF(J730&lt;0.6,"Pleasant","Hot"))</f>
        <v>Cold</v>
      </c>
      <c r="W730" s="1" t="str">
        <f>IF(L730&lt;0.4,"Low",
IF(L730&lt;0.7,"Medium","High"))</f>
        <v>Medium</v>
      </c>
      <c r="X730" s="1" t="str">
        <f>IF(M730&lt;0.2,"Low",
IF(M730&lt;0.4,"Medium","High"))</f>
        <v>Medium</v>
      </c>
      <c r="Y730" s="1" t="str">
        <f>IF(P730&lt;100,"Low",
IF(P730&lt;300,"Medium","High"))</f>
        <v>Low</v>
      </c>
    </row>
    <row r="731" spans="1:25" x14ac:dyDescent="0.3">
      <c r="A731">
        <v>739</v>
      </c>
      <c r="B731" s="2">
        <v>40577</v>
      </c>
      <c r="C731">
        <v>1</v>
      </c>
      <c r="D731">
        <v>0</v>
      </c>
      <c r="E731">
        <v>2</v>
      </c>
      <c r="F731">
        <v>3</v>
      </c>
      <c r="G731" t="b">
        <v>0</v>
      </c>
      <c r="H731">
        <v>4</v>
      </c>
      <c r="I731">
        <v>1</v>
      </c>
      <c r="J731">
        <v>0.18</v>
      </c>
      <c r="K731">
        <v>0.16669999999999999</v>
      </c>
      <c r="L731">
        <v>0.43</v>
      </c>
      <c r="M731">
        <v>0.25369999999999998</v>
      </c>
      <c r="N731">
        <v>0</v>
      </c>
      <c r="O731">
        <v>1</v>
      </c>
      <c r="P731">
        <v>1</v>
      </c>
      <c r="Q731" t="str">
        <f>VLOOKUP(MasterData[[#This Row],[season]],[1]Lookup!$A$2:$B$5,2,FALSE)</f>
        <v>Spring</v>
      </c>
      <c r="R731" t="str">
        <f>TEXT(DATE(2026,E731,1),"mmmm")</f>
        <v>February</v>
      </c>
      <c r="S731" t="str">
        <f>IF(OR(H731=0,H731=6),"Weekend","Weekday")</f>
        <v>Weekday</v>
      </c>
      <c r="T731" s="1" t="str">
        <f>VLOOKUP(I731,[1]Lookup!$D$2:$E$5,2,FALSE)</f>
        <v>Clear</v>
      </c>
      <c r="U731" s="1" t="str">
        <f>IF(F731&lt;6,"Night",
IF(F731&lt;12,"Morning",
IF(F731&lt;17,"Afternoon",
IF(F731&lt;21,"Evening","Night"))))</f>
        <v>Night</v>
      </c>
      <c r="V731" s="1" t="str">
        <f>IF(J731&lt;0.3,"Cold",
IF(J731&lt;0.6,"Pleasant","Hot"))</f>
        <v>Cold</v>
      </c>
      <c r="W731" s="1" t="str">
        <f>IF(L731&lt;0.4,"Low",
IF(L731&lt;0.7,"Medium","High"))</f>
        <v>Medium</v>
      </c>
      <c r="X731" s="1" t="str">
        <f>IF(M731&lt;0.2,"Low",
IF(M731&lt;0.4,"Medium","High"))</f>
        <v>Medium</v>
      </c>
      <c r="Y731" s="1" t="str">
        <f>IF(P731&lt;100,"Low",
IF(P731&lt;300,"Medium","High"))</f>
        <v>Low</v>
      </c>
    </row>
    <row r="732" spans="1:25" x14ac:dyDescent="0.3">
      <c r="A732">
        <v>740</v>
      </c>
      <c r="B732" s="2">
        <v>40577</v>
      </c>
      <c r="C732">
        <v>1</v>
      </c>
      <c r="D732">
        <v>0</v>
      </c>
      <c r="E732">
        <v>2</v>
      </c>
      <c r="F732">
        <v>5</v>
      </c>
      <c r="G732" t="b">
        <v>0</v>
      </c>
      <c r="H732">
        <v>4</v>
      </c>
      <c r="I732">
        <v>1</v>
      </c>
      <c r="J732">
        <v>0.16</v>
      </c>
      <c r="K732">
        <v>0.13639999999999999</v>
      </c>
      <c r="L732">
        <v>0.5</v>
      </c>
      <c r="M732">
        <v>0.29849999999999999</v>
      </c>
      <c r="N732">
        <v>0</v>
      </c>
      <c r="O732">
        <v>2</v>
      </c>
      <c r="P732">
        <v>2</v>
      </c>
      <c r="Q732" t="str">
        <f>VLOOKUP(MasterData[[#This Row],[season]],[1]Lookup!$A$2:$B$5,2,FALSE)</f>
        <v>Spring</v>
      </c>
      <c r="R732" t="str">
        <f>TEXT(DATE(2026,E732,1),"mmmm")</f>
        <v>February</v>
      </c>
      <c r="S732" t="str">
        <f>IF(OR(H732=0,H732=6),"Weekend","Weekday")</f>
        <v>Weekday</v>
      </c>
      <c r="T732" s="1" t="str">
        <f>VLOOKUP(I732,[1]Lookup!$D$2:$E$5,2,FALSE)</f>
        <v>Clear</v>
      </c>
      <c r="U732" s="1" t="str">
        <f>IF(F732&lt;6,"Night",
IF(F732&lt;12,"Morning",
IF(F732&lt;17,"Afternoon",
IF(F732&lt;21,"Evening","Night"))))</f>
        <v>Night</v>
      </c>
      <c r="V732" s="1" t="str">
        <f>IF(J732&lt;0.3,"Cold",
IF(J732&lt;0.6,"Pleasant","Hot"))</f>
        <v>Cold</v>
      </c>
      <c r="W732" s="1" t="str">
        <f>IF(L732&lt;0.4,"Low",
IF(L732&lt;0.7,"Medium","High"))</f>
        <v>Medium</v>
      </c>
      <c r="X732" s="1" t="str">
        <f>IF(M732&lt;0.2,"Low",
IF(M732&lt;0.4,"Medium","High"))</f>
        <v>Medium</v>
      </c>
      <c r="Y732" s="1" t="str">
        <f>IF(P732&lt;100,"Low",
IF(P732&lt;300,"Medium","High"))</f>
        <v>Low</v>
      </c>
    </row>
    <row r="733" spans="1:25" x14ac:dyDescent="0.3">
      <c r="A733">
        <v>741</v>
      </c>
      <c r="B733" s="2">
        <v>40577</v>
      </c>
      <c r="C733">
        <v>1</v>
      </c>
      <c r="D733">
        <v>0</v>
      </c>
      <c r="E733">
        <v>2</v>
      </c>
      <c r="F733">
        <v>6</v>
      </c>
      <c r="G733" t="b">
        <v>0</v>
      </c>
      <c r="H733">
        <v>4</v>
      </c>
      <c r="I733">
        <v>1</v>
      </c>
      <c r="J733">
        <v>0.16</v>
      </c>
      <c r="K733">
        <v>0.13639999999999999</v>
      </c>
      <c r="L733">
        <v>0.43</v>
      </c>
      <c r="M733">
        <v>0.35820000000000002</v>
      </c>
      <c r="N733">
        <v>0</v>
      </c>
      <c r="O733">
        <v>39</v>
      </c>
      <c r="P733">
        <v>39</v>
      </c>
      <c r="Q733" t="str">
        <f>VLOOKUP(MasterData[[#This Row],[season]],[1]Lookup!$A$2:$B$5,2,FALSE)</f>
        <v>Spring</v>
      </c>
      <c r="R733" t="str">
        <f>TEXT(DATE(2026,E733,1),"mmmm")</f>
        <v>February</v>
      </c>
      <c r="S733" t="str">
        <f>IF(OR(H733=0,H733=6),"Weekend","Weekday")</f>
        <v>Weekday</v>
      </c>
      <c r="T733" s="1" t="str">
        <f>VLOOKUP(I733,[1]Lookup!$D$2:$E$5,2,FALSE)</f>
        <v>Clear</v>
      </c>
      <c r="U733" s="1" t="str">
        <f>IF(F733&lt;6,"Night",
IF(F733&lt;12,"Morning",
IF(F733&lt;17,"Afternoon",
IF(F733&lt;21,"Evening","Night"))))</f>
        <v>Morning</v>
      </c>
      <c r="V733" s="1" t="str">
        <f>IF(J733&lt;0.3,"Cold",
IF(J733&lt;0.6,"Pleasant","Hot"))</f>
        <v>Cold</v>
      </c>
      <c r="W733" s="1" t="str">
        <f>IF(L733&lt;0.4,"Low",
IF(L733&lt;0.7,"Medium","High"))</f>
        <v>Medium</v>
      </c>
      <c r="X733" s="1" t="str">
        <f>IF(M733&lt;0.2,"Low",
IF(M733&lt;0.4,"Medium","High"))</f>
        <v>Medium</v>
      </c>
      <c r="Y733" s="1" t="str">
        <f>IF(P733&lt;100,"Low",
IF(P733&lt;300,"Medium","High"))</f>
        <v>Low</v>
      </c>
    </row>
    <row r="734" spans="1:25" x14ac:dyDescent="0.3">
      <c r="A734">
        <v>742</v>
      </c>
      <c r="B734" s="2">
        <v>40577</v>
      </c>
      <c r="C734">
        <v>1</v>
      </c>
      <c r="D734">
        <v>0</v>
      </c>
      <c r="E734">
        <v>2</v>
      </c>
      <c r="F734">
        <v>7</v>
      </c>
      <c r="G734" t="b">
        <v>0</v>
      </c>
      <c r="H734">
        <v>4</v>
      </c>
      <c r="I734">
        <v>1</v>
      </c>
      <c r="J734">
        <v>0.14000000000000001</v>
      </c>
      <c r="K734">
        <v>0.1212</v>
      </c>
      <c r="L734">
        <v>0.5</v>
      </c>
      <c r="M734">
        <v>0.32840000000000003</v>
      </c>
      <c r="N734">
        <v>1</v>
      </c>
      <c r="O734">
        <v>86</v>
      </c>
      <c r="P734">
        <v>87</v>
      </c>
      <c r="Q734" t="str">
        <f>VLOOKUP(MasterData[[#This Row],[season]],[1]Lookup!$A$2:$B$5,2,FALSE)</f>
        <v>Spring</v>
      </c>
      <c r="R734" t="str">
        <f>TEXT(DATE(2026,E734,1),"mmmm")</f>
        <v>February</v>
      </c>
      <c r="S734" t="str">
        <f>IF(OR(H734=0,H734=6),"Weekend","Weekday")</f>
        <v>Weekday</v>
      </c>
      <c r="T734" s="1" t="str">
        <f>VLOOKUP(I734,[1]Lookup!$D$2:$E$5,2,FALSE)</f>
        <v>Clear</v>
      </c>
      <c r="U734" s="1" t="str">
        <f>IF(F734&lt;6,"Night",
IF(F734&lt;12,"Morning",
IF(F734&lt;17,"Afternoon",
IF(F734&lt;21,"Evening","Night"))))</f>
        <v>Morning</v>
      </c>
      <c r="V734" s="1" t="str">
        <f>IF(J734&lt;0.3,"Cold",
IF(J734&lt;0.6,"Pleasant","Hot"))</f>
        <v>Cold</v>
      </c>
      <c r="W734" s="1" t="str">
        <f>IF(L734&lt;0.4,"Low",
IF(L734&lt;0.7,"Medium","High"))</f>
        <v>Medium</v>
      </c>
      <c r="X734" s="1" t="str">
        <f>IF(M734&lt;0.2,"Low",
IF(M734&lt;0.4,"Medium","High"))</f>
        <v>Medium</v>
      </c>
      <c r="Y734" s="1" t="str">
        <f>IF(P734&lt;100,"Low",
IF(P734&lt;300,"Medium","High"))</f>
        <v>Low</v>
      </c>
    </row>
    <row r="735" spans="1:25" x14ac:dyDescent="0.3">
      <c r="A735">
        <v>743</v>
      </c>
      <c r="B735" s="2">
        <v>40577</v>
      </c>
      <c r="C735">
        <v>1</v>
      </c>
      <c r="D735">
        <v>0</v>
      </c>
      <c r="E735">
        <v>2</v>
      </c>
      <c r="F735">
        <v>8</v>
      </c>
      <c r="G735" t="b">
        <v>0</v>
      </c>
      <c r="H735">
        <v>4</v>
      </c>
      <c r="I735">
        <v>1</v>
      </c>
      <c r="J735">
        <v>0.14000000000000001</v>
      </c>
      <c r="K735">
        <v>0.1212</v>
      </c>
      <c r="L735">
        <v>0.5</v>
      </c>
      <c r="M735">
        <v>0.35820000000000002</v>
      </c>
      <c r="N735">
        <v>4</v>
      </c>
      <c r="O735">
        <v>184</v>
      </c>
      <c r="P735">
        <v>188</v>
      </c>
      <c r="Q735" t="str">
        <f>VLOOKUP(MasterData[[#This Row],[season]],[1]Lookup!$A$2:$B$5,2,FALSE)</f>
        <v>Spring</v>
      </c>
      <c r="R735" t="str">
        <f>TEXT(DATE(2026,E735,1),"mmmm")</f>
        <v>February</v>
      </c>
      <c r="S735" t="str">
        <f>IF(OR(H735=0,H735=6),"Weekend","Weekday")</f>
        <v>Weekday</v>
      </c>
      <c r="T735" s="1" t="str">
        <f>VLOOKUP(I735,[1]Lookup!$D$2:$E$5,2,FALSE)</f>
        <v>Clear</v>
      </c>
      <c r="U735" s="1" t="str">
        <f>IF(F735&lt;6,"Night",
IF(F735&lt;12,"Morning",
IF(F735&lt;17,"Afternoon",
IF(F735&lt;21,"Evening","Night"))))</f>
        <v>Morning</v>
      </c>
      <c r="V735" s="1" t="str">
        <f>IF(J735&lt;0.3,"Cold",
IF(J735&lt;0.6,"Pleasant","Hot"))</f>
        <v>Cold</v>
      </c>
      <c r="W735" s="1" t="str">
        <f>IF(L735&lt;0.4,"Low",
IF(L735&lt;0.7,"Medium","High"))</f>
        <v>Medium</v>
      </c>
      <c r="X735" s="1" t="str">
        <f>IF(M735&lt;0.2,"Low",
IF(M735&lt;0.4,"Medium","High"))</f>
        <v>Medium</v>
      </c>
      <c r="Y735" s="1" t="str">
        <f>IF(P735&lt;100,"Low",
IF(P735&lt;300,"Medium","High"))</f>
        <v>Medium</v>
      </c>
    </row>
    <row r="736" spans="1:25" x14ac:dyDescent="0.3">
      <c r="A736">
        <v>744</v>
      </c>
      <c r="B736" s="2">
        <v>40577</v>
      </c>
      <c r="C736">
        <v>1</v>
      </c>
      <c r="D736">
        <v>0</v>
      </c>
      <c r="E736">
        <v>2</v>
      </c>
      <c r="F736">
        <v>9</v>
      </c>
      <c r="G736" t="b">
        <v>0</v>
      </c>
      <c r="H736">
        <v>4</v>
      </c>
      <c r="I736">
        <v>1</v>
      </c>
      <c r="J736">
        <v>0.16</v>
      </c>
      <c r="K736">
        <v>0.13639999999999999</v>
      </c>
      <c r="L736">
        <v>0.47</v>
      </c>
      <c r="M736">
        <v>0.29849999999999999</v>
      </c>
      <c r="N736">
        <v>6</v>
      </c>
      <c r="O736">
        <v>127</v>
      </c>
      <c r="P736">
        <v>133</v>
      </c>
      <c r="Q736" t="str">
        <f>VLOOKUP(MasterData[[#This Row],[season]],[1]Lookup!$A$2:$B$5,2,FALSE)</f>
        <v>Spring</v>
      </c>
      <c r="R736" t="str">
        <f>TEXT(DATE(2026,E736,1),"mmmm")</f>
        <v>February</v>
      </c>
      <c r="S736" t="str">
        <f>IF(OR(H736=0,H736=6),"Weekend","Weekday")</f>
        <v>Weekday</v>
      </c>
      <c r="T736" s="1" t="str">
        <f>VLOOKUP(I736,[1]Lookup!$D$2:$E$5,2,FALSE)</f>
        <v>Clear</v>
      </c>
      <c r="U736" s="1" t="str">
        <f>IF(F736&lt;6,"Night",
IF(F736&lt;12,"Morning",
IF(F736&lt;17,"Afternoon",
IF(F736&lt;21,"Evening","Night"))))</f>
        <v>Morning</v>
      </c>
      <c r="V736" s="1" t="str">
        <f>IF(J736&lt;0.3,"Cold",
IF(J736&lt;0.6,"Pleasant","Hot"))</f>
        <v>Cold</v>
      </c>
      <c r="W736" s="1" t="str">
        <f>IF(L736&lt;0.4,"Low",
IF(L736&lt;0.7,"Medium","High"))</f>
        <v>Medium</v>
      </c>
      <c r="X736" s="1" t="str">
        <f>IF(M736&lt;0.2,"Low",
IF(M736&lt;0.4,"Medium","High"))</f>
        <v>Medium</v>
      </c>
      <c r="Y736" s="1" t="str">
        <f>IF(P736&lt;100,"Low",
IF(P736&lt;300,"Medium","High"))</f>
        <v>Medium</v>
      </c>
    </row>
    <row r="737" spans="1:25" x14ac:dyDescent="0.3">
      <c r="A737">
        <v>745</v>
      </c>
      <c r="B737" s="2">
        <v>40577</v>
      </c>
      <c r="C737">
        <v>1</v>
      </c>
      <c r="D737">
        <v>0</v>
      </c>
      <c r="E737">
        <v>2</v>
      </c>
      <c r="F737">
        <v>10</v>
      </c>
      <c r="G737" t="b">
        <v>0</v>
      </c>
      <c r="H737">
        <v>4</v>
      </c>
      <c r="I737">
        <v>1</v>
      </c>
      <c r="J737">
        <v>0.18</v>
      </c>
      <c r="K737">
        <v>0.1515</v>
      </c>
      <c r="L737">
        <v>0.43</v>
      </c>
      <c r="M737">
        <v>0.32840000000000003</v>
      </c>
      <c r="N737">
        <v>2</v>
      </c>
      <c r="O737">
        <v>50</v>
      </c>
      <c r="P737">
        <v>52</v>
      </c>
      <c r="Q737" t="str">
        <f>VLOOKUP(MasterData[[#This Row],[season]],[1]Lookup!$A$2:$B$5,2,FALSE)</f>
        <v>Spring</v>
      </c>
      <c r="R737" t="str">
        <f>TEXT(DATE(2026,E737,1),"mmmm")</f>
        <v>February</v>
      </c>
      <c r="S737" t="str">
        <f>IF(OR(H737=0,H737=6),"Weekend","Weekday")</f>
        <v>Weekday</v>
      </c>
      <c r="T737" s="1" t="str">
        <f>VLOOKUP(I737,[1]Lookup!$D$2:$E$5,2,FALSE)</f>
        <v>Clear</v>
      </c>
      <c r="U737" s="1" t="str">
        <f>IF(F737&lt;6,"Night",
IF(F737&lt;12,"Morning",
IF(F737&lt;17,"Afternoon",
IF(F737&lt;21,"Evening","Night"))))</f>
        <v>Morning</v>
      </c>
      <c r="V737" s="1" t="str">
        <f>IF(J737&lt;0.3,"Cold",
IF(J737&lt;0.6,"Pleasant","Hot"))</f>
        <v>Cold</v>
      </c>
      <c r="W737" s="1" t="str">
        <f>IF(L737&lt;0.4,"Low",
IF(L737&lt;0.7,"Medium","High"))</f>
        <v>Medium</v>
      </c>
      <c r="X737" s="1" t="str">
        <f>IF(M737&lt;0.2,"Low",
IF(M737&lt;0.4,"Medium","High"))</f>
        <v>Medium</v>
      </c>
      <c r="Y737" s="1" t="str">
        <f>IF(P737&lt;100,"Low",
IF(P737&lt;300,"Medium","High"))</f>
        <v>Low</v>
      </c>
    </row>
    <row r="738" spans="1:25" x14ac:dyDescent="0.3">
      <c r="A738">
        <v>746</v>
      </c>
      <c r="B738" s="2">
        <v>40577</v>
      </c>
      <c r="C738">
        <v>1</v>
      </c>
      <c r="D738">
        <v>0</v>
      </c>
      <c r="E738">
        <v>2</v>
      </c>
      <c r="F738">
        <v>11</v>
      </c>
      <c r="G738" t="b">
        <v>0</v>
      </c>
      <c r="H738">
        <v>4</v>
      </c>
      <c r="I738">
        <v>1</v>
      </c>
      <c r="J738">
        <v>0.18</v>
      </c>
      <c r="K738">
        <v>0.13639999999999999</v>
      </c>
      <c r="L738">
        <v>0.43</v>
      </c>
      <c r="M738">
        <v>0.44779999999999998</v>
      </c>
      <c r="N738">
        <v>9</v>
      </c>
      <c r="O738">
        <v>55</v>
      </c>
      <c r="P738">
        <v>64</v>
      </c>
      <c r="Q738" t="str">
        <f>VLOOKUP(MasterData[[#This Row],[season]],[1]Lookup!$A$2:$B$5,2,FALSE)</f>
        <v>Spring</v>
      </c>
      <c r="R738" t="str">
        <f>TEXT(DATE(2026,E738,1),"mmmm")</f>
        <v>February</v>
      </c>
      <c r="S738" t="str">
        <f>IF(OR(H738=0,H738=6),"Weekend","Weekday")</f>
        <v>Weekday</v>
      </c>
      <c r="T738" s="1" t="str">
        <f>VLOOKUP(I738,[1]Lookup!$D$2:$E$5,2,FALSE)</f>
        <v>Clear</v>
      </c>
      <c r="U738" s="1" t="str">
        <f>IF(F738&lt;6,"Night",
IF(F738&lt;12,"Morning",
IF(F738&lt;17,"Afternoon",
IF(F738&lt;21,"Evening","Night"))))</f>
        <v>Morning</v>
      </c>
      <c r="V738" s="1" t="str">
        <f>IF(J738&lt;0.3,"Cold",
IF(J738&lt;0.6,"Pleasant","Hot"))</f>
        <v>Cold</v>
      </c>
      <c r="W738" s="1" t="str">
        <f>IF(L738&lt;0.4,"Low",
IF(L738&lt;0.7,"Medium","High"))</f>
        <v>Medium</v>
      </c>
      <c r="X738" s="1" t="str">
        <f>IF(M738&lt;0.2,"Low",
IF(M738&lt;0.4,"Medium","High"))</f>
        <v>High</v>
      </c>
      <c r="Y738" s="1" t="str">
        <f>IF(P738&lt;100,"Low",
IF(P738&lt;300,"Medium","High"))</f>
        <v>Low</v>
      </c>
    </row>
    <row r="739" spans="1:25" x14ac:dyDescent="0.3">
      <c r="A739">
        <v>747</v>
      </c>
      <c r="B739" s="2">
        <v>40577</v>
      </c>
      <c r="C739">
        <v>1</v>
      </c>
      <c r="D739">
        <v>0</v>
      </c>
      <c r="E739">
        <v>2</v>
      </c>
      <c r="F739">
        <v>12</v>
      </c>
      <c r="G739" t="b">
        <v>0</v>
      </c>
      <c r="H739">
        <v>4</v>
      </c>
      <c r="I739">
        <v>1</v>
      </c>
      <c r="J739">
        <v>0.2</v>
      </c>
      <c r="K739">
        <v>0.18179999999999999</v>
      </c>
      <c r="L739">
        <v>0.4</v>
      </c>
      <c r="M739">
        <v>0.35820000000000002</v>
      </c>
      <c r="N739">
        <v>2</v>
      </c>
      <c r="O739">
        <v>67</v>
      </c>
      <c r="P739">
        <v>69</v>
      </c>
      <c r="Q739" t="str">
        <f>VLOOKUP(MasterData[[#This Row],[season]],[1]Lookup!$A$2:$B$5,2,FALSE)</f>
        <v>Spring</v>
      </c>
      <c r="R739" t="str">
        <f>TEXT(DATE(2026,E739,1),"mmmm")</f>
        <v>February</v>
      </c>
      <c r="S739" t="str">
        <f>IF(OR(H739=0,H739=6),"Weekend","Weekday")</f>
        <v>Weekday</v>
      </c>
      <c r="T739" s="1" t="str">
        <f>VLOOKUP(I739,[1]Lookup!$D$2:$E$5,2,FALSE)</f>
        <v>Clear</v>
      </c>
      <c r="U739" s="1" t="str">
        <f>IF(F739&lt;6,"Night",
IF(F739&lt;12,"Morning",
IF(F739&lt;17,"Afternoon",
IF(F739&lt;21,"Evening","Night"))))</f>
        <v>Afternoon</v>
      </c>
      <c r="V739" s="1" t="str">
        <f>IF(J739&lt;0.3,"Cold",
IF(J739&lt;0.6,"Pleasant","Hot"))</f>
        <v>Cold</v>
      </c>
      <c r="W739" s="1" t="str">
        <f>IF(L739&lt;0.4,"Low",
IF(L739&lt;0.7,"Medium","High"))</f>
        <v>Medium</v>
      </c>
      <c r="X739" s="1" t="str">
        <f>IF(M739&lt;0.2,"Low",
IF(M739&lt;0.4,"Medium","High"))</f>
        <v>Medium</v>
      </c>
      <c r="Y739" s="1" t="str">
        <f>IF(P739&lt;100,"Low",
IF(P739&lt;300,"Medium","High"))</f>
        <v>Low</v>
      </c>
    </row>
    <row r="740" spans="1:25" x14ac:dyDescent="0.3">
      <c r="A740">
        <v>748</v>
      </c>
      <c r="B740" s="2">
        <v>40577</v>
      </c>
      <c r="C740">
        <v>1</v>
      </c>
      <c r="D740">
        <v>0</v>
      </c>
      <c r="E740">
        <v>2</v>
      </c>
      <c r="F740">
        <v>13</v>
      </c>
      <c r="G740" t="b">
        <v>0</v>
      </c>
      <c r="H740">
        <v>4</v>
      </c>
      <c r="I740">
        <v>1</v>
      </c>
      <c r="J740">
        <v>0.2</v>
      </c>
      <c r="K740">
        <v>0.16669999999999999</v>
      </c>
      <c r="L740">
        <v>0.4</v>
      </c>
      <c r="M740">
        <v>0.41789999999999999</v>
      </c>
      <c r="N740">
        <v>4</v>
      </c>
      <c r="O740">
        <v>47</v>
      </c>
      <c r="P740">
        <v>51</v>
      </c>
      <c r="Q740" t="str">
        <f>VLOOKUP(MasterData[[#This Row],[season]],[1]Lookup!$A$2:$B$5,2,FALSE)</f>
        <v>Spring</v>
      </c>
      <c r="R740" t="str">
        <f>TEXT(DATE(2026,E740,1),"mmmm")</f>
        <v>February</v>
      </c>
      <c r="S740" t="str">
        <f>IF(OR(H740=0,H740=6),"Weekend","Weekday")</f>
        <v>Weekday</v>
      </c>
      <c r="T740" s="1" t="str">
        <f>VLOOKUP(I740,[1]Lookup!$D$2:$E$5,2,FALSE)</f>
        <v>Clear</v>
      </c>
      <c r="U740" s="1" t="str">
        <f>IF(F740&lt;6,"Night",
IF(F740&lt;12,"Morning",
IF(F740&lt;17,"Afternoon",
IF(F740&lt;21,"Evening","Night"))))</f>
        <v>Afternoon</v>
      </c>
      <c r="V740" s="1" t="str">
        <f>IF(J740&lt;0.3,"Cold",
IF(J740&lt;0.6,"Pleasant","Hot"))</f>
        <v>Cold</v>
      </c>
      <c r="W740" s="1" t="str">
        <f>IF(L740&lt;0.4,"Low",
IF(L740&lt;0.7,"Medium","High"))</f>
        <v>Medium</v>
      </c>
      <c r="X740" s="1" t="str">
        <f>IF(M740&lt;0.2,"Low",
IF(M740&lt;0.4,"Medium","High"))</f>
        <v>High</v>
      </c>
      <c r="Y740" s="1" t="str">
        <f>IF(P740&lt;100,"Low",
IF(P740&lt;300,"Medium","High"))</f>
        <v>Low</v>
      </c>
    </row>
    <row r="741" spans="1:25" x14ac:dyDescent="0.3">
      <c r="A741">
        <v>749</v>
      </c>
      <c r="B741" s="2">
        <v>40577</v>
      </c>
      <c r="C741">
        <v>1</v>
      </c>
      <c r="D741">
        <v>0</v>
      </c>
      <c r="E741">
        <v>2</v>
      </c>
      <c r="F741">
        <v>14</v>
      </c>
      <c r="G741" t="b">
        <v>0</v>
      </c>
      <c r="H741">
        <v>4</v>
      </c>
      <c r="I741">
        <v>1</v>
      </c>
      <c r="J741">
        <v>0.22</v>
      </c>
      <c r="K741">
        <v>0.19700000000000001</v>
      </c>
      <c r="L741">
        <v>0.37</v>
      </c>
      <c r="M741">
        <v>0.3881</v>
      </c>
      <c r="N741">
        <v>4</v>
      </c>
      <c r="O741">
        <v>43</v>
      </c>
      <c r="P741">
        <v>47</v>
      </c>
      <c r="Q741" t="str">
        <f>VLOOKUP(MasterData[[#This Row],[season]],[1]Lookup!$A$2:$B$5,2,FALSE)</f>
        <v>Spring</v>
      </c>
      <c r="R741" t="str">
        <f>TEXT(DATE(2026,E741,1),"mmmm")</f>
        <v>February</v>
      </c>
      <c r="S741" t="str">
        <f>IF(OR(H741=0,H741=6),"Weekend","Weekday")</f>
        <v>Weekday</v>
      </c>
      <c r="T741" s="1" t="str">
        <f>VLOOKUP(I741,[1]Lookup!$D$2:$E$5,2,FALSE)</f>
        <v>Clear</v>
      </c>
      <c r="U741" s="1" t="str">
        <f>IF(F741&lt;6,"Night",
IF(F741&lt;12,"Morning",
IF(F741&lt;17,"Afternoon",
IF(F741&lt;21,"Evening","Night"))))</f>
        <v>Afternoon</v>
      </c>
      <c r="V741" s="1" t="str">
        <f>IF(J741&lt;0.3,"Cold",
IF(J741&lt;0.6,"Pleasant","Hot"))</f>
        <v>Cold</v>
      </c>
      <c r="W741" s="1" t="str">
        <f>IF(L741&lt;0.4,"Low",
IF(L741&lt;0.7,"Medium","High"))</f>
        <v>Low</v>
      </c>
      <c r="X741" s="1" t="str">
        <f>IF(M741&lt;0.2,"Low",
IF(M741&lt;0.4,"Medium","High"))</f>
        <v>Medium</v>
      </c>
      <c r="Y741" s="1" t="str">
        <f>IF(P741&lt;100,"Low",
IF(P741&lt;300,"Medium","High"))</f>
        <v>Low</v>
      </c>
    </row>
    <row r="742" spans="1:25" x14ac:dyDescent="0.3">
      <c r="A742">
        <v>750</v>
      </c>
      <c r="B742" s="2">
        <v>40577</v>
      </c>
      <c r="C742">
        <v>1</v>
      </c>
      <c r="D742">
        <v>0</v>
      </c>
      <c r="E742">
        <v>2</v>
      </c>
      <c r="F742">
        <v>15</v>
      </c>
      <c r="G742" t="b">
        <v>0</v>
      </c>
      <c r="H742">
        <v>4</v>
      </c>
      <c r="I742">
        <v>1</v>
      </c>
      <c r="J742">
        <v>0.22</v>
      </c>
      <c r="K742">
        <v>0.19700000000000001</v>
      </c>
      <c r="L742">
        <v>0.37</v>
      </c>
      <c r="M742">
        <v>0.32840000000000003</v>
      </c>
      <c r="N742">
        <v>4</v>
      </c>
      <c r="O742">
        <v>56</v>
      </c>
      <c r="P742">
        <v>60</v>
      </c>
      <c r="Q742" t="str">
        <f>VLOOKUP(MasterData[[#This Row],[season]],[1]Lookup!$A$2:$B$5,2,FALSE)</f>
        <v>Spring</v>
      </c>
      <c r="R742" t="str">
        <f>TEXT(DATE(2026,E742,1),"mmmm")</f>
        <v>February</v>
      </c>
      <c r="S742" t="str">
        <f>IF(OR(H742=0,H742=6),"Weekend","Weekday")</f>
        <v>Weekday</v>
      </c>
      <c r="T742" s="1" t="str">
        <f>VLOOKUP(I742,[1]Lookup!$D$2:$E$5,2,FALSE)</f>
        <v>Clear</v>
      </c>
      <c r="U742" s="1" t="str">
        <f>IF(F742&lt;6,"Night",
IF(F742&lt;12,"Morning",
IF(F742&lt;17,"Afternoon",
IF(F742&lt;21,"Evening","Night"))))</f>
        <v>Afternoon</v>
      </c>
      <c r="V742" s="1" t="str">
        <f>IF(J742&lt;0.3,"Cold",
IF(J742&lt;0.6,"Pleasant","Hot"))</f>
        <v>Cold</v>
      </c>
      <c r="W742" s="1" t="str">
        <f>IF(L742&lt;0.4,"Low",
IF(L742&lt;0.7,"Medium","High"))</f>
        <v>Low</v>
      </c>
      <c r="X742" s="1" t="str">
        <f>IF(M742&lt;0.2,"Low",
IF(M742&lt;0.4,"Medium","High"))</f>
        <v>Medium</v>
      </c>
      <c r="Y742" s="1" t="str">
        <f>IF(P742&lt;100,"Low",
IF(P742&lt;300,"Medium","High"))</f>
        <v>Low</v>
      </c>
    </row>
    <row r="743" spans="1:25" x14ac:dyDescent="0.3">
      <c r="A743">
        <v>751</v>
      </c>
      <c r="B743" s="2">
        <v>40577</v>
      </c>
      <c r="C743">
        <v>1</v>
      </c>
      <c r="D743">
        <v>0</v>
      </c>
      <c r="E743">
        <v>2</v>
      </c>
      <c r="F743">
        <v>16</v>
      </c>
      <c r="G743" t="b">
        <v>0</v>
      </c>
      <c r="H743">
        <v>4</v>
      </c>
      <c r="I743">
        <v>1</v>
      </c>
      <c r="J743">
        <v>0.22</v>
      </c>
      <c r="K743">
        <v>0.21210000000000001</v>
      </c>
      <c r="L743">
        <v>0.37</v>
      </c>
      <c r="M743">
        <v>0.25369999999999998</v>
      </c>
      <c r="N743">
        <v>5</v>
      </c>
      <c r="O743">
        <v>73</v>
      </c>
      <c r="P743">
        <v>78</v>
      </c>
      <c r="Q743" t="str">
        <f>VLOOKUP(MasterData[[#This Row],[season]],[1]Lookup!$A$2:$B$5,2,FALSE)</f>
        <v>Spring</v>
      </c>
      <c r="R743" t="str">
        <f>TEXT(DATE(2026,E743,1),"mmmm")</f>
        <v>February</v>
      </c>
      <c r="S743" t="str">
        <f>IF(OR(H743=0,H743=6),"Weekend","Weekday")</f>
        <v>Weekday</v>
      </c>
      <c r="T743" s="1" t="str">
        <f>VLOOKUP(I743,[1]Lookup!$D$2:$E$5,2,FALSE)</f>
        <v>Clear</v>
      </c>
      <c r="U743" s="1" t="str">
        <f>IF(F743&lt;6,"Night",
IF(F743&lt;12,"Morning",
IF(F743&lt;17,"Afternoon",
IF(F743&lt;21,"Evening","Night"))))</f>
        <v>Afternoon</v>
      </c>
      <c r="V743" s="1" t="str">
        <f>IF(J743&lt;0.3,"Cold",
IF(J743&lt;0.6,"Pleasant","Hot"))</f>
        <v>Cold</v>
      </c>
      <c r="W743" s="1" t="str">
        <f>IF(L743&lt;0.4,"Low",
IF(L743&lt;0.7,"Medium","High"))</f>
        <v>Low</v>
      </c>
      <c r="X743" s="1" t="str">
        <f>IF(M743&lt;0.2,"Low",
IF(M743&lt;0.4,"Medium","High"))</f>
        <v>Medium</v>
      </c>
      <c r="Y743" s="1" t="str">
        <f>IF(P743&lt;100,"Low",
IF(P743&lt;300,"Medium","High"))</f>
        <v>Low</v>
      </c>
    </row>
    <row r="744" spans="1:25" x14ac:dyDescent="0.3">
      <c r="A744">
        <v>752</v>
      </c>
      <c r="B744" s="2">
        <v>40577</v>
      </c>
      <c r="C744">
        <v>1</v>
      </c>
      <c r="D744">
        <v>0</v>
      </c>
      <c r="E744">
        <v>2</v>
      </c>
      <c r="F744">
        <v>17</v>
      </c>
      <c r="G744" t="b">
        <v>0</v>
      </c>
      <c r="H744">
        <v>4</v>
      </c>
      <c r="I744">
        <v>1</v>
      </c>
      <c r="J744">
        <v>0.2</v>
      </c>
      <c r="K744">
        <v>0.19700000000000001</v>
      </c>
      <c r="L744">
        <v>0.4</v>
      </c>
      <c r="M744">
        <v>0.19400000000000001</v>
      </c>
      <c r="N744">
        <v>5</v>
      </c>
      <c r="O744">
        <v>170</v>
      </c>
      <c r="P744">
        <v>175</v>
      </c>
      <c r="Q744" t="str">
        <f>VLOOKUP(MasterData[[#This Row],[season]],[1]Lookup!$A$2:$B$5,2,FALSE)</f>
        <v>Spring</v>
      </c>
      <c r="R744" t="str">
        <f>TEXT(DATE(2026,E744,1),"mmmm")</f>
        <v>February</v>
      </c>
      <c r="S744" t="str">
        <f>IF(OR(H744=0,H744=6),"Weekend","Weekday")</f>
        <v>Weekday</v>
      </c>
      <c r="T744" s="1" t="str">
        <f>VLOOKUP(I744,[1]Lookup!$D$2:$E$5,2,FALSE)</f>
        <v>Clear</v>
      </c>
      <c r="U744" s="1" t="str">
        <f>IF(F744&lt;6,"Night",
IF(F744&lt;12,"Morning",
IF(F744&lt;17,"Afternoon",
IF(F744&lt;21,"Evening","Night"))))</f>
        <v>Evening</v>
      </c>
      <c r="V744" s="1" t="str">
        <f>IF(J744&lt;0.3,"Cold",
IF(J744&lt;0.6,"Pleasant","Hot"))</f>
        <v>Cold</v>
      </c>
      <c r="W744" s="1" t="str">
        <f>IF(L744&lt;0.4,"Low",
IF(L744&lt;0.7,"Medium","High"))</f>
        <v>Medium</v>
      </c>
      <c r="X744" s="1" t="str">
        <f>IF(M744&lt;0.2,"Low",
IF(M744&lt;0.4,"Medium","High"))</f>
        <v>Low</v>
      </c>
      <c r="Y744" s="1" t="str">
        <f>IF(P744&lt;100,"Low",
IF(P744&lt;300,"Medium","High"))</f>
        <v>Medium</v>
      </c>
    </row>
    <row r="745" spans="1:25" x14ac:dyDescent="0.3">
      <c r="A745">
        <v>753</v>
      </c>
      <c r="B745" s="2">
        <v>40577</v>
      </c>
      <c r="C745">
        <v>1</v>
      </c>
      <c r="D745">
        <v>0</v>
      </c>
      <c r="E745">
        <v>2</v>
      </c>
      <c r="F745">
        <v>18</v>
      </c>
      <c r="G745" t="b">
        <v>0</v>
      </c>
      <c r="H745">
        <v>4</v>
      </c>
      <c r="I745">
        <v>1</v>
      </c>
      <c r="J745">
        <v>0.2</v>
      </c>
      <c r="K745">
        <v>0.21210000000000001</v>
      </c>
      <c r="L745">
        <v>0.4</v>
      </c>
      <c r="M745">
        <v>0.16420000000000001</v>
      </c>
      <c r="N745">
        <v>2</v>
      </c>
      <c r="O745">
        <v>145</v>
      </c>
      <c r="P745">
        <v>147</v>
      </c>
      <c r="Q745" t="str">
        <f>VLOOKUP(MasterData[[#This Row],[season]],[1]Lookup!$A$2:$B$5,2,FALSE)</f>
        <v>Spring</v>
      </c>
      <c r="R745" t="str">
        <f>TEXT(DATE(2026,E745,1),"mmmm")</f>
        <v>February</v>
      </c>
      <c r="S745" t="str">
        <f>IF(OR(H745=0,H745=6),"Weekend","Weekday")</f>
        <v>Weekday</v>
      </c>
      <c r="T745" s="1" t="str">
        <f>VLOOKUP(I745,[1]Lookup!$D$2:$E$5,2,FALSE)</f>
        <v>Clear</v>
      </c>
      <c r="U745" s="1" t="str">
        <f>IF(F745&lt;6,"Night",
IF(F745&lt;12,"Morning",
IF(F745&lt;17,"Afternoon",
IF(F745&lt;21,"Evening","Night"))))</f>
        <v>Evening</v>
      </c>
      <c r="V745" s="1" t="str">
        <f>IF(J745&lt;0.3,"Cold",
IF(J745&lt;0.6,"Pleasant","Hot"))</f>
        <v>Cold</v>
      </c>
      <c r="W745" s="1" t="str">
        <f>IF(L745&lt;0.4,"Low",
IF(L745&lt;0.7,"Medium","High"))</f>
        <v>Medium</v>
      </c>
      <c r="X745" s="1" t="str">
        <f>IF(M745&lt;0.2,"Low",
IF(M745&lt;0.4,"Medium","High"))</f>
        <v>Low</v>
      </c>
      <c r="Y745" s="1" t="str">
        <f>IF(P745&lt;100,"Low",
IF(P745&lt;300,"Medium","High"))</f>
        <v>Medium</v>
      </c>
    </row>
    <row r="746" spans="1:25" x14ac:dyDescent="0.3">
      <c r="A746">
        <v>754</v>
      </c>
      <c r="B746" s="2">
        <v>40577</v>
      </c>
      <c r="C746">
        <v>1</v>
      </c>
      <c r="D746">
        <v>0</v>
      </c>
      <c r="E746">
        <v>2</v>
      </c>
      <c r="F746">
        <v>19</v>
      </c>
      <c r="G746" t="b">
        <v>0</v>
      </c>
      <c r="H746">
        <v>4</v>
      </c>
      <c r="I746">
        <v>1</v>
      </c>
      <c r="J746">
        <v>0.2</v>
      </c>
      <c r="K746">
        <v>0.2576</v>
      </c>
      <c r="L746">
        <v>0.4</v>
      </c>
      <c r="M746">
        <v>0</v>
      </c>
      <c r="N746">
        <v>4</v>
      </c>
      <c r="O746">
        <v>92</v>
      </c>
      <c r="P746">
        <v>96</v>
      </c>
      <c r="Q746" t="str">
        <f>VLOOKUP(MasterData[[#This Row],[season]],[1]Lookup!$A$2:$B$5,2,FALSE)</f>
        <v>Spring</v>
      </c>
      <c r="R746" t="str">
        <f>TEXT(DATE(2026,E746,1),"mmmm")</f>
        <v>February</v>
      </c>
      <c r="S746" t="str">
        <f>IF(OR(H746=0,H746=6),"Weekend","Weekday")</f>
        <v>Weekday</v>
      </c>
      <c r="T746" s="1" t="str">
        <f>VLOOKUP(I746,[1]Lookup!$D$2:$E$5,2,FALSE)</f>
        <v>Clear</v>
      </c>
      <c r="U746" s="1" t="str">
        <f>IF(F746&lt;6,"Night",
IF(F746&lt;12,"Morning",
IF(F746&lt;17,"Afternoon",
IF(F746&lt;21,"Evening","Night"))))</f>
        <v>Evening</v>
      </c>
      <c r="V746" s="1" t="str">
        <f>IF(J746&lt;0.3,"Cold",
IF(J746&lt;0.6,"Pleasant","Hot"))</f>
        <v>Cold</v>
      </c>
      <c r="W746" s="1" t="str">
        <f>IF(L746&lt;0.4,"Low",
IF(L746&lt;0.7,"Medium","High"))</f>
        <v>Medium</v>
      </c>
      <c r="X746" s="1" t="str">
        <f>IF(M746&lt;0.2,"Low",
IF(M746&lt;0.4,"Medium","High"))</f>
        <v>Low</v>
      </c>
      <c r="Y746" s="1" t="str">
        <f>IF(P746&lt;100,"Low",
IF(P746&lt;300,"Medium","High"))</f>
        <v>Low</v>
      </c>
    </row>
    <row r="747" spans="1:25" x14ac:dyDescent="0.3">
      <c r="A747">
        <v>755</v>
      </c>
      <c r="B747" s="2">
        <v>40577</v>
      </c>
      <c r="C747">
        <v>1</v>
      </c>
      <c r="D747">
        <v>0</v>
      </c>
      <c r="E747">
        <v>2</v>
      </c>
      <c r="F747">
        <v>20</v>
      </c>
      <c r="G747" t="b">
        <v>0</v>
      </c>
      <c r="H747">
        <v>4</v>
      </c>
      <c r="I747">
        <v>1</v>
      </c>
      <c r="J747">
        <v>0.2</v>
      </c>
      <c r="K747">
        <v>0.2273</v>
      </c>
      <c r="L747">
        <v>0.47</v>
      </c>
      <c r="M747">
        <v>8.9599999999999999E-2</v>
      </c>
      <c r="N747">
        <v>1</v>
      </c>
      <c r="O747">
        <v>108</v>
      </c>
      <c r="P747">
        <v>109</v>
      </c>
      <c r="Q747" t="str">
        <f>VLOOKUP(MasterData[[#This Row],[season]],[1]Lookup!$A$2:$B$5,2,FALSE)</f>
        <v>Spring</v>
      </c>
      <c r="R747" t="str">
        <f>TEXT(DATE(2026,E747,1),"mmmm")</f>
        <v>February</v>
      </c>
      <c r="S747" t="str">
        <f>IF(OR(H747=0,H747=6),"Weekend","Weekday")</f>
        <v>Weekday</v>
      </c>
      <c r="T747" s="1" t="str">
        <f>VLOOKUP(I747,[1]Lookup!$D$2:$E$5,2,FALSE)</f>
        <v>Clear</v>
      </c>
      <c r="U747" s="1" t="str">
        <f>IF(F747&lt;6,"Night",
IF(F747&lt;12,"Morning",
IF(F747&lt;17,"Afternoon",
IF(F747&lt;21,"Evening","Night"))))</f>
        <v>Evening</v>
      </c>
      <c r="V747" s="1" t="str">
        <f>IF(J747&lt;0.3,"Cold",
IF(J747&lt;0.6,"Pleasant","Hot"))</f>
        <v>Cold</v>
      </c>
      <c r="W747" s="1" t="str">
        <f>IF(L747&lt;0.4,"Low",
IF(L747&lt;0.7,"Medium","High"))</f>
        <v>Medium</v>
      </c>
      <c r="X747" s="1" t="str">
        <f>IF(M747&lt;0.2,"Low",
IF(M747&lt;0.4,"Medium","High"))</f>
        <v>Low</v>
      </c>
      <c r="Y747" s="1" t="str">
        <f>IF(P747&lt;100,"Low",
IF(P747&lt;300,"Medium","High"))</f>
        <v>Medium</v>
      </c>
    </row>
    <row r="748" spans="1:25" x14ac:dyDescent="0.3">
      <c r="A748">
        <v>756</v>
      </c>
      <c r="B748" s="2">
        <v>40577</v>
      </c>
      <c r="C748">
        <v>1</v>
      </c>
      <c r="D748">
        <v>0</v>
      </c>
      <c r="E748">
        <v>2</v>
      </c>
      <c r="F748">
        <v>21</v>
      </c>
      <c r="G748" t="b">
        <v>0</v>
      </c>
      <c r="H748">
        <v>4</v>
      </c>
      <c r="I748">
        <v>1</v>
      </c>
      <c r="J748">
        <v>0.18</v>
      </c>
      <c r="K748">
        <v>0.21210000000000001</v>
      </c>
      <c r="L748">
        <v>0.55000000000000004</v>
      </c>
      <c r="M748">
        <v>0.1045</v>
      </c>
      <c r="N748">
        <v>1</v>
      </c>
      <c r="O748">
        <v>53</v>
      </c>
      <c r="P748">
        <v>54</v>
      </c>
      <c r="Q748" t="str">
        <f>VLOOKUP(MasterData[[#This Row],[season]],[1]Lookup!$A$2:$B$5,2,FALSE)</f>
        <v>Spring</v>
      </c>
      <c r="R748" t="str">
        <f>TEXT(DATE(2026,E748,1),"mmmm")</f>
        <v>February</v>
      </c>
      <c r="S748" t="str">
        <f>IF(OR(H748=0,H748=6),"Weekend","Weekday")</f>
        <v>Weekday</v>
      </c>
      <c r="T748" s="1" t="str">
        <f>VLOOKUP(I748,[1]Lookup!$D$2:$E$5,2,FALSE)</f>
        <v>Clear</v>
      </c>
      <c r="U748" s="1" t="str">
        <f>IF(F748&lt;6,"Night",
IF(F748&lt;12,"Morning",
IF(F748&lt;17,"Afternoon",
IF(F748&lt;21,"Evening","Night"))))</f>
        <v>Night</v>
      </c>
      <c r="V748" s="1" t="str">
        <f>IF(J748&lt;0.3,"Cold",
IF(J748&lt;0.6,"Pleasant","Hot"))</f>
        <v>Cold</v>
      </c>
      <c r="W748" s="1" t="str">
        <f>IF(L748&lt;0.4,"Low",
IF(L748&lt;0.7,"Medium","High"))</f>
        <v>Medium</v>
      </c>
      <c r="X748" s="1" t="str">
        <f>IF(M748&lt;0.2,"Low",
IF(M748&lt;0.4,"Medium","High"))</f>
        <v>Low</v>
      </c>
      <c r="Y748" s="1" t="str">
        <f>IF(P748&lt;100,"Low",
IF(P748&lt;300,"Medium","High"))</f>
        <v>Low</v>
      </c>
    </row>
    <row r="749" spans="1:25" x14ac:dyDescent="0.3">
      <c r="A749">
        <v>757</v>
      </c>
      <c r="B749" s="2">
        <v>40577</v>
      </c>
      <c r="C749">
        <v>1</v>
      </c>
      <c r="D749">
        <v>0</v>
      </c>
      <c r="E749">
        <v>2</v>
      </c>
      <c r="F749">
        <v>22</v>
      </c>
      <c r="G749" t="b">
        <v>0</v>
      </c>
      <c r="H749">
        <v>4</v>
      </c>
      <c r="I749">
        <v>1</v>
      </c>
      <c r="J749">
        <v>0.18</v>
      </c>
      <c r="K749">
        <v>0.21210000000000001</v>
      </c>
      <c r="L749">
        <v>0.51</v>
      </c>
      <c r="M749">
        <v>8.9599999999999999E-2</v>
      </c>
      <c r="N749">
        <v>2</v>
      </c>
      <c r="O749">
        <v>39</v>
      </c>
      <c r="P749">
        <v>41</v>
      </c>
      <c r="Q749" t="str">
        <f>VLOOKUP(MasterData[[#This Row],[season]],[1]Lookup!$A$2:$B$5,2,FALSE)</f>
        <v>Spring</v>
      </c>
      <c r="R749" t="str">
        <f>TEXT(DATE(2026,E749,1),"mmmm")</f>
        <v>February</v>
      </c>
      <c r="S749" t="str">
        <f>IF(OR(H749=0,H749=6),"Weekend","Weekday")</f>
        <v>Weekday</v>
      </c>
      <c r="T749" s="1" t="str">
        <f>VLOOKUP(I749,[1]Lookup!$D$2:$E$5,2,FALSE)</f>
        <v>Clear</v>
      </c>
      <c r="U749" s="1" t="str">
        <f>IF(F749&lt;6,"Night",
IF(F749&lt;12,"Morning",
IF(F749&lt;17,"Afternoon",
IF(F749&lt;21,"Evening","Night"))))</f>
        <v>Night</v>
      </c>
      <c r="V749" s="1" t="str">
        <f>IF(J749&lt;0.3,"Cold",
IF(J749&lt;0.6,"Pleasant","Hot"))</f>
        <v>Cold</v>
      </c>
      <c r="W749" s="1" t="str">
        <f>IF(L749&lt;0.4,"Low",
IF(L749&lt;0.7,"Medium","High"))</f>
        <v>Medium</v>
      </c>
      <c r="X749" s="1" t="str">
        <f>IF(M749&lt;0.2,"Low",
IF(M749&lt;0.4,"Medium","High"))</f>
        <v>Low</v>
      </c>
      <c r="Y749" s="1" t="str">
        <f>IF(P749&lt;100,"Low",
IF(P749&lt;300,"Medium","High"))</f>
        <v>Low</v>
      </c>
    </row>
    <row r="750" spans="1:25" x14ac:dyDescent="0.3">
      <c r="A750">
        <v>758</v>
      </c>
      <c r="B750" s="2">
        <v>40577</v>
      </c>
      <c r="C750">
        <v>1</v>
      </c>
      <c r="D750">
        <v>0</v>
      </c>
      <c r="E750">
        <v>2</v>
      </c>
      <c r="F750">
        <v>23</v>
      </c>
      <c r="G750" t="b">
        <v>0</v>
      </c>
      <c r="H750">
        <v>4</v>
      </c>
      <c r="I750">
        <v>1</v>
      </c>
      <c r="J750">
        <v>0.2</v>
      </c>
      <c r="K750">
        <v>0.2273</v>
      </c>
      <c r="L750">
        <v>0.47</v>
      </c>
      <c r="M750">
        <v>0.1045</v>
      </c>
      <c r="N750">
        <v>4</v>
      </c>
      <c r="O750">
        <v>34</v>
      </c>
      <c r="P750">
        <v>38</v>
      </c>
      <c r="Q750" t="str">
        <f>VLOOKUP(MasterData[[#This Row],[season]],[1]Lookup!$A$2:$B$5,2,FALSE)</f>
        <v>Spring</v>
      </c>
      <c r="R750" t="str">
        <f>TEXT(DATE(2026,E750,1),"mmmm")</f>
        <v>February</v>
      </c>
      <c r="S750" t="str">
        <f>IF(OR(H750=0,H750=6),"Weekend","Weekday")</f>
        <v>Weekday</v>
      </c>
      <c r="T750" s="1" t="str">
        <f>VLOOKUP(I750,[1]Lookup!$D$2:$E$5,2,FALSE)</f>
        <v>Clear</v>
      </c>
      <c r="U750" s="1" t="str">
        <f>IF(F750&lt;6,"Night",
IF(F750&lt;12,"Morning",
IF(F750&lt;17,"Afternoon",
IF(F750&lt;21,"Evening","Night"))))</f>
        <v>Night</v>
      </c>
      <c r="V750" s="1" t="str">
        <f>IF(J750&lt;0.3,"Cold",
IF(J750&lt;0.6,"Pleasant","Hot"))</f>
        <v>Cold</v>
      </c>
      <c r="W750" s="1" t="str">
        <f>IF(L750&lt;0.4,"Low",
IF(L750&lt;0.7,"Medium","High"))</f>
        <v>Medium</v>
      </c>
      <c r="X750" s="1" t="str">
        <f>IF(M750&lt;0.2,"Low",
IF(M750&lt;0.4,"Medium","High"))</f>
        <v>Low</v>
      </c>
      <c r="Y750" s="1" t="str">
        <f>IF(P750&lt;100,"Low",
IF(P750&lt;300,"Medium","High"))</f>
        <v>Low</v>
      </c>
    </row>
    <row r="751" spans="1:25" x14ac:dyDescent="0.3">
      <c r="A751">
        <v>759</v>
      </c>
      <c r="B751" s="2">
        <v>40578</v>
      </c>
      <c r="C751">
        <v>1</v>
      </c>
      <c r="D751">
        <v>0</v>
      </c>
      <c r="E751">
        <v>2</v>
      </c>
      <c r="F751">
        <v>0</v>
      </c>
      <c r="G751" t="b">
        <v>0</v>
      </c>
      <c r="H751">
        <v>5</v>
      </c>
      <c r="I751">
        <v>2</v>
      </c>
      <c r="J751">
        <v>0.2</v>
      </c>
      <c r="K751">
        <v>0.2576</v>
      </c>
      <c r="L751">
        <v>0.44</v>
      </c>
      <c r="M751">
        <v>0</v>
      </c>
      <c r="N751">
        <v>3</v>
      </c>
      <c r="O751">
        <v>10</v>
      </c>
      <c r="P751">
        <v>13</v>
      </c>
      <c r="Q751" t="str">
        <f>VLOOKUP(MasterData[[#This Row],[season]],[1]Lookup!$A$2:$B$5,2,FALSE)</f>
        <v>Spring</v>
      </c>
      <c r="R751" t="str">
        <f>TEXT(DATE(2026,E751,1),"mmmm")</f>
        <v>February</v>
      </c>
      <c r="S751" t="str">
        <f>IF(OR(H751=0,H751=6),"Weekend","Weekday")</f>
        <v>Weekday</v>
      </c>
      <c r="T751" s="1" t="str">
        <f>VLOOKUP(I751,[1]Lookup!$D$2:$E$5,2,FALSE)</f>
        <v>Mist / Cloudy</v>
      </c>
      <c r="U751" s="1" t="str">
        <f>IF(F751&lt;6,"Night",
IF(F751&lt;12,"Morning",
IF(F751&lt;17,"Afternoon",
IF(F751&lt;21,"Evening","Night"))))</f>
        <v>Night</v>
      </c>
      <c r="V751" s="1" t="str">
        <f>IF(J751&lt;0.3,"Cold",
IF(J751&lt;0.6,"Pleasant","Hot"))</f>
        <v>Cold</v>
      </c>
      <c r="W751" s="1" t="str">
        <f>IF(L751&lt;0.4,"Low",
IF(L751&lt;0.7,"Medium","High"))</f>
        <v>Medium</v>
      </c>
      <c r="X751" s="1" t="str">
        <f>IF(M751&lt;0.2,"Low",
IF(M751&lt;0.4,"Medium","High"))</f>
        <v>Low</v>
      </c>
      <c r="Y751" s="1" t="str">
        <f>IF(P751&lt;100,"Low",
IF(P751&lt;300,"Medium","High"))</f>
        <v>Low</v>
      </c>
    </row>
    <row r="752" spans="1:25" x14ac:dyDescent="0.3">
      <c r="A752">
        <v>760</v>
      </c>
      <c r="B752" s="2">
        <v>40578</v>
      </c>
      <c r="C752">
        <v>1</v>
      </c>
      <c r="D752">
        <v>0</v>
      </c>
      <c r="E752">
        <v>2</v>
      </c>
      <c r="F752">
        <v>1</v>
      </c>
      <c r="G752" t="b">
        <v>0</v>
      </c>
      <c r="H752">
        <v>5</v>
      </c>
      <c r="I752">
        <v>2</v>
      </c>
      <c r="J752">
        <v>0.16</v>
      </c>
      <c r="K752">
        <v>0.2273</v>
      </c>
      <c r="L752">
        <v>0.59</v>
      </c>
      <c r="M752">
        <v>0</v>
      </c>
      <c r="N752">
        <v>0</v>
      </c>
      <c r="O752">
        <v>7</v>
      </c>
      <c r="P752">
        <v>7</v>
      </c>
      <c r="Q752" t="str">
        <f>VLOOKUP(MasterData[[#This Row],[season]],[1]Lookup!$A$2:$B$5,2,FALSE)</f>
        <v>Spring</v>
      </c>
      <c r="R752" t="str">
        <f>TEXT(DATE(2026,E752,1),"mmmm")</f>
        <v>February</v>
      </c>
      <c r="S752" t="str">
        <f>IF(OR(H752=0,H752=6),"Weekend","Weekday")</f>
        <v>Weekday</v>
      </c>
      <c r="T752" s="1" t="str">
        <f>VLOOKUP(I752,[1]Lookup!$D$2:$E$5,2,FALSE)</f>
        <v>Mist / Cloudy</v>
      </c>
      <c r="U752" s="1" t="str">
        <f>IF(F752&lt;6,"Night",
IF(F752&lt;12,"Morning",
IF(F752&lt;17,"Afternoon",
IF(F752&lt;21,"Evening","Night"))))</f>
        <v>Night</v>
      </c>
      <c r="V752" s="1" t="str">
        <f>IF(J752&lt;0.3,"Cold",
IF(J752&lt;0.6,"Pleasant","Hot"))</f>
        <v>Cold</v>
      </c>
      <c r="W752" s="1" t="str">
        <f>IF(L752&lt;0.4,"Low",
IF(L752&lt;0.7,"Medium","High"))</f>
        <v>Medium</v>
      </c>
      <c r="X752" s="1" t="str">
        <f>IF(M752&lt;0.2,"Low",
IF(M752&lt;0.4,"Medium","High"))</f>
        <v>Low</v>
      </c>
      <c r="Y752" s="1" t="str">
        <f>IF(P752&lt;100,"Low",
IF(P752&lt;300,"Medium","High"))</f>
        <v>Low</v>
      </c>
    </row>
    <row r="753" spans="1:25" x14ac:dyDescent="0.3">
      <c r="A753">
        <v>761</v>
      </c>
      <c r="B753" s="2">
        <v>40578</v>
      </c>
      <c r="C753">
        <v>1</v>
      </c>
      <c r="D753">
        <v>0</v>
      </c>
      <c r="E753">
        <v>2</v>
      </c>
      <c r="F753">
        <v>2</v>
      </c>
      <c r="G753" t="b">
        <v>0</v>
      </c>
      <c r="H753">
        <v>5</v>
      </c>
      <c r="I753">
        <v>2</v>
      </c>
      <c r="J753">
        <v>0.14000000000000001</v>
      </c>
      <c r="K753">
        <v>0.16669999999999999</v>
      </c>
      <c r="L753">
        <v>0.63</v>
      </c>
      <c r="M753">
        <v>0.1045</v>
      </c>
      <c r="N753">
        <v>0</v>
      </c>
      <c r="O753">
        <v>1</v>
      </c>
      <c r="P753">
        <v>1</v>
      </c>
      <c r="Q753" t="str">
        <f>VLOOKUP(MasterData[[#This Row],[season]],[1]Lookup!$A$2:$B$5,2,FALSE)</f>
        <v>Spring</v>
      </c>
      <c r="R753" t="str">
        <f>TEXT(DATE(2026,E753,1),"mmmm")</f>
        <v>February</v>
      </c>
      <c r="S753" t="str">
        <f>IF(OR(H753=0,H753=6),"Weekend","Weekday")</f>
        <v>Weekday</v>
      </c>
      <c r="T753" s="1" t="str">
        <f>VLOOKUP(I753,[1]Lookup!$D$2:$E$5,2,FALSE)</f>
        <v>Mist / Cloudy</v>
      </c>
      <c r="U753" s="1" t="str">
        <f>IF(F753&lt;6,"Night",
IF(F753&lt;12,"Morning",
IF(F753&lt;17,"Afternoon",
IF(F753&lt;21,"Evening","Night"))))</f>
        <v>Night</v>
      </c>
      <c r="V753" s="1" t="str">
        <f>IF(J753&lt;0.3,"Cold",
IF(J753&lt;0.6,"Pleasant","Hot"))</f>
        <v>Cold</v>
      </c>
      <c r="W753" s="1" t="str">
        <f>IF(L753&lt;0.4,"Low",
IF(L753&lt;0.7,"Medium","High"))</f>
        <v>Medium</v>
      </c>
      <c r="X753" s="1" t="str">
        <f>IF(M753&lt;0.2,"Low",
IF(M753&lt;0.4,"Medium","High"))</f>
        <v>Low</v>
      </c>
      <c r="Y753" s="1" t="str">
        <f>IF(P753&lt;100,"Low",
IF(P753&lt;300,"Medium","High"))</f>
        <v>Low</v>
      </c>
    </row>
    <row r="754" spans="1:25" x14ac:dyDescent="0.3">
      <c r="A754">
        <v>762</v>
      </c>
      <c r="B754" s="2">
        <v>40578</v>
      </c>
      <c r="C754">
        <v>1</v>
      </c>
      <c r="D754">
        <v>0</v>
      </c>
      <c r="E754">
        <v>2</v>
      </c>
      <c r="F754">
        <v>3</v>
      </c>
      <c r="G754" t="b">
        <v>0</v>
      </c>
      <c r="H754">
        <v>5</v>
      </c>
      <c r="I754">
        <v>2</v>
      </c>
      <c r="J754">
        <v>0.14000000000000001</v>
      </c>
      <c r="K754">
        <v>0.16669999999999999</v>
      </c>
      <c r="L754">
        <v>0.63</v>
      </c>
      <c r="M754">
        <v>0.1045</v>
      </c>
      <c r="N754">
        <v>0</v>
      </c>
      <c r="O754">
        <v>1</v>
      </c>
      <c r="P754">
        <v>1</v>
      </c>
      <c r="Q754" t="str">
        <f>VLOOKUP(MasterData[[#This Row],[season]],[1]Lookup!$A$2:$B$5,2,FALSE)</f>
        <v>Spring</v>
      </c>
      <c r="R754" t="str">
        <f>TEXT(DATE(2026,E754,1),"mmmm")</f>
        <v>February</v>
      </c>
      <c r="S754" t="str">
        <f>IF(OR(H754=0,H754=6),"Weekend","Weekday")</f>
        <v>Weekday</v>
      </c>
      <c r="T754" s="1" t="str">
        <f>VLOOKUP(I754,[1]Lookup!$D$2:$E$5,2,FALSE)</f>
        <v>Mist / Cloudy</v>
      </c>
      <c r="U754" s="1" t="str">
        <f>IF(F754&lt;6,"Night",
IF(F754&lt;12,"Morning",
IF(F754&lt;17,"Afternoon",
IF(F754&lt;21,"Evening","Night"))))</f>
        <v>Night</v>
      </c>
      <c r="V754" s="1" t="str">
        <f>IF(J754&lt;0.3,"Cold",
IF(J754&lt;0.6,"Pleasant","Hot"))</f>
        <v>Cold</v>
      </c>
      <c r="W754" s="1" t="str">
        <f>IF(L754&lt;0.4,"Low",
IF(L754&lt;0.7,"Medium","High"))</f>
        <v>Medium</v>
      </c>
      <c r="X754" s="1" t="str">
        <f>IF(M754&lt;0.2,"Low",
IF(M754&lt;0.4,"Medium","High"))</f>
        <v>Low</v>
      </c>
      <c r="Y754" s="1" t="str">
        <f>IF(P754&lt;100,"Low",
IF(P754&lt;300,"Medium","High"))</f>
        <v>Low</v>
      </c>
    </row>
    <row r="755" spans="1:25" x14ac:dyDescent="0.3">
      <c r="A755">
        <v>763</v>
      </c>
      <c r="B755" s="2">
        <v>40578</v>
      </c>
      <c r="C755">
        <v>1</v>
      </c>
      <c r="D755">
        <v>0</v>
      </c>
      <c r="E755">
        <v>2</v>
      </c>
      <c r="F755">
        <v>5</v>
      </c>
      <c r="G755" t="b">
        <v>0</v>
      </c>
      <c r="H755">
        <v>5</v>
      </c>
      <c r="I755">
        <v>2</v>
      </c>
      <c r="J755">
        <v>0.14000000000000001</v>
      </c>
      <c r="K755">
        <v>0.1515</v>
      </c>
      <c r="L755">
        <v>0.63</v>
      </c>
      <c r="M755">
        <v>0.1343</v>
      </c>
      <c r="N755">
        <v>0</v>
      </c>
      <c r="O755">
        <v>7</v>
      </c>
      <c r="P755">
        <v>7</v>
      </c>
      <c r="Q755" t="str">
        <f>VLOOKUP(MasterData[[#This Row],[season]],[1]Lookup!$A$2:$B$5,2,FALSE)</f>
        <v>Spring</v>
      </c>
      <c r="R755" t="str">
        <f>TEXT(DATE(2026,E755,1),"mmmm")</f>
        <v>February</v>
      </c>
      <c r="S755" t="str">
        <f>IF(OR(H755=0,H755=6),"Weekend","Weekday")</f>
        <v>Weekday</v>
      </c>
      <c r="T755" s="1" t="str">
        <f>VLOOKUP(I755,[1]Lookup!$D$2:$E$5,2,FALSE)</f>
        <v>Mist / Cloudy</v>
      </c>
      <c r="U755" s="1" t="str">
        <f>IF(F755&lt;6,"Night",
IF(F755&lt;12,"Morning",
IF(F755&lt;17,"Afternoon",
IF(F755&lt;21,"Evening","Night"))))</f>
        <v>Night</v>
      </c>
      <c r="V755" s="1" t="str">
        <f>IF(J755&lt;0.3,"Cold",
IF(J755&lt;0.6,"Pleasant","Hot"))</f>
        <v>Cold</v>
      </c>
      <c r="W755" s="1" t="str">
        <f>IF(L755&lt;0.4,"Low",
IF(L755&lt;0.7,"Medium","High"))</f>
        <v>Medium</v>
      </c>
      <c r="X755" s="1" t="str">
        <f>IF(M755&lt;0.2,"Low",
IF(M755&lt;0.4,"Medium","High"))</f>
        <v>Low</v>
      </c>
      <c r="Y755" s="1" t="str">
        <f>IF(P755&lt;100,"Low",
IF(P755&lt;300,"Medium","High"))</f>
        <v>Low</v>
      </c>
    </row>
    <row r="756" spans="1:25" x14ac:dyDescent="0.3">
      <c r="A756">
        <v>764</v>
      </c>
      <c r="B756" s="2">
        <v>40578</v>
      </c>
      <c r="C756">
        <v>1</v>
      </c>
      <c r="D756">
        <v>0</v>
      </c>
      <c r="E756">
        <v>2</v>
      </c>
      <c r="F756">
        <v>6</v>
      </c>
      <c r="G756" t="b">
        <v>0</v>
      </c>
      <c r="H756">
        <v>5</v>
      </c>
      <c r="I756">
        <v>2</v>
      </c>
      <c r="J756">
        <v>0.16</v>
      </c>
      <c r="K756">
        <v>0.2273</v>
      </c>
      <c r="L756">
        <v>0.55000000000000004</v>
      </c>
      <c r="M756">
        <v>0</v>
      </c>
      <c r="N756">
        <v>2</v>
      </c>
      <c r="O756">
        <v>26</v>
      </c>
      <c r="P756">
        <v>28</v>
      </c>
      <c r="Q756" t="str">
        <f>VLOOKUP(MasterData[[#This Row],[season]],[1]Lookup!$A$2:$B$5,2,FALSE)</f>
        <v>Spring</v>
      </c>
      <c r="R756" t="str">
        <f>TEXT(DATE(2026,E756,1),"mmmm")</f>
        <v>February</v>
      </c>
      <c r="S756" t="str">
        <f>IF(OR(H756=0,H756=6),"Weekend","Weekday")</f>
        <v>Weekday</v>
      </c>
      <c r="T756" s="1" t="str">
        <f>VLOOKUP(I756,[1]Lookup!$D$2:$E$5,2,FALSE)</f>
        <v>Mist / Cloudy</v>
      </c>
      <c r="U756" s="1" t="str">
        <f>IF(F756&lt;6,"Night",
IF(F756&lt;12,"Morning",
IF(F756&lt;17,"Afternoon",
IF(F756&lt;21,"Evening","Night"))))</f>
        <v>Morning</v>
      </c>
      <c r="V756" s="1" t="str">
        <f>IF(J756&lt;0.3,"Cold",
IF(J756&lt;0.6,"Pleasant","Hot"))</f>
        <v>Cold</v>
      </c>
      <c r="W756" s="1" t="str">
        <f>IF(L756&lt;0.4,"Low",
IF(L756&lt;0.7,"Medium","High"))</f>
        <v>Medium</v>
      </c>
      <c r="X756" s="1" t="str">
        <f>IF(M756&lt;0.2,"Low",
IF(M756&lt;0.4,"Medium","High"))</f>
        <v>Low</v>
      </c>
      <c r="Y756" s="1" t="str">
        <f>IF(P756&lt;100,"Low",
IF(P756&lt;300,"Medium","High"))</f>
        <v>Low</v>
      </c>
    </row>
    <row r="757" spans="1:25" x14ac:dyDescent="0.3">
      <c r="A757">
        <v>765</v>
      </c>
      <c r="B757" s="2">
        <v>40578</v>
      </c>
      <c r="C757">
        <v>1</v>
      </c>
      <c r="D757">
        <v>0</v>
      </c>
      <c r="E757">
        <v>2</v>
      </c>
      <c r="F757">
        <v>7</v>
      </c>
      <c r="G757" t="b">
        <v>0</v>
      </c>
      <c r="H757">
        <v>5</v>
      </c>
      <c r="I757">
        <v>1</v>
      </c>
      <c r="J757">
        <v>0.14000000000000001</v>
      </c>
      <c r="K757">
        <v>0.21210000000000001</v>
      </c>
      <c r="L757">
        <v>0.59</v>
      </c>
      <c r="M757">
        <v>0</v>
      </c>
      <c r="N757">
        <v>0</v>
      </c>
      <c r="O757">
        <v>87</v>
      </c>
      <c r="P757">
        <v>87</v>
      </c>
      <c r="Q757" t="str">
        <f>VLOOKUP(MasterData[[#This Row],[season]],[1]Lookup!$A$2:$B$5,2,FALSE)</f>
        <v>Spring</v>
      </c>
      <c r="R757" t="str">
        <f>TEXT(DATE(2026,E757,1),"mmmm")</f>
        <v>February</v>
      </c>
      <c r="S757" t="str">
        <f>IF(OR(H757=0,H757=6),"Weekend","Weekday")</f>
        <v>Weekday</v>
      </c>
      <c r="T757" s="1" t="str">
        <f>VLOOKUP(I757,[1]Lookup!$D$2:$E$5,2,FALSE)</f>
        <v>Clear</v>
      </c>
      <c r="U757" s="1" t="str">
        <f>IF(F757&lt;6,"Night",
IF(F757&lt;12,"Morning",
IF(F757&lt;17,"Afternoon",
IF(F757&lt;21,"Evening","Night"))))</f>
        <v>Morning</v>
      </c>
      <c r="V757" s="1" t="str">
        <f>IF(J757&lt;0.3,"Cold",
IF(J757&lt;0.6,"Pleasant","Hot"))</f>
        <v>Cold</v>
      </c>
      <c r="W757" s="1" t="str">
        <f>IF(L757&lt;0.4,"Low",
IF(L757&lt;0.7,"Medium","High"))</f>
        <v>Medium</v>
      </c>
      <c r="X757" s="1" t="str">
        <f>IF(M757&lt;0.2,"Low",
IF(M757&lt;0.4,"Medium","High"))</f>
        <v>Low</v>
      </c>
      <c r="Y757" s="1" t="str">
        <f>IF(P757&lt;100,"Low",
IF(P757&lt;300,"Medium","High"))</f>
        <v>Low</v>
      </c>
    </row>
    <row r="758" spans="1:25" x14ac:dyDescent="0.3">
      <c r="A758">
        <v>766</v>
      </c>
      <c r="B758" s="2">
        <v>40578</v>
      </c>
      <c r="C758">
        <v>1</v>
      </c>
      <c r="D758">
        <v>0</v>
      </c>
      <c r="E758">
        <v>2</v>
      </c>
      <c r="F758">
        <v>8</v>
      </c>
      <c r="G758" t="b">
        <v>0</v>
      </c>
      <c r="H758">
        <v>5</v>
      </c>
      <c r="I758">
        <v>1</v>
      </c>
      <c r="J758">
        <v>0.14000000000000001</v>
      </c>
      <c r="K758">
        <v>0.1515</v>
      </c>
      <c r="L758">
        <v>0.74</v>
      </c>
      <c r="M758">
        <v>0.1343</v>
      </c>
      <c r="N758">
        <v>3</v>
      </c>
      <c r="O758">
        <v>217</v>
      </c>
      <c r="P758">
        <v>220</v>
      </c>
      <c r="Q758" t="str">
        <f>VLOOKUP(MasterData[[#This Row],[season]],[1]Lookup!$A$2:$B$5,2,FALSE)</f>
        <v>Spring</v>
      </c>
      <c r="R758" t="str">
        <f>TEXT(DATE(2026,E758,1),"mmmm")</f>
        <v>February</v>
      </c>
      <c r="S758" t="str">
        <f>IF(OR(H758=0,H758=6),"Weekend","Weekday")</f>
        <v>Weekday</v>
      </c>
      <c r="T758" s="1" t="str">
        <f>VLOOKUP(I758,[1]Lookup!$D$2:$E$5,2,FALSE)</f>
        <v>Clear</v>
      </c>
      <c r="U758" s="1" t="str">
        <f>IF(F758&lt;6,"Night",
IF(F758&lt;12,"Morning",
IF(F758&lt;17,"Afternoon",
IF(F758&lt;21,"Evening","Night"))))</f>
        <v>Morning</v>
      </c>
      <c r="V758" s="1" t="str">
        <f>IF(J758&lt;0.3,"Cold",
IF(J758&lt;0.6,"Pleasant","Hot"))</f>
        <v>Cold</v>
      </c>
      <c r="W758" s="1" t="str">
        <f>IF(L758&lt;0.4,"Low",
IF(L758&lt;0.7,"Medium","High"))</f>
        <v>High</v>
      </c>
      <c r="X758" s="1" t="str">
        <f>IF(M758&lt;0.2,"Low",
IF(M758&lt;0.4,"Medium","High"))</f>
        <v>Low</v>
      </c>
      <c r="Y758" s="1" t="str">
        <f>IF(P758&lt;100,"Low",
IF(P758&lt;300,"Medium","High"))</f>
        <v>Medium</v>
      </c>
    </row>
    <row r="759" spans="1:25" x14ac:dyDescent="0.3">
      <c r="A759">
        <v>767</v>
      </c>
      <c r="B759" s="2">
        <v>40578</v>
      </c>
      <c r="C759">
        <v>1</v>
      </c>
      <c r="D759">
        <v>0</v>
      </c>
      <c r="E759">
        <v>2</v>
      </c>
      <c r="F759">
        <v>9</v>
      </c>
      <c r="G759" t="b">
        <v>0</v>
      </c>
      <c r="H759">
        <v>5</v>
      </c>
      <c r="I759">
        <v>2</v>
      </c>
      <c r="J759">
        <v>0.16</v>
      </c>
      <c r="K759">
        <v>0.18179999999999999</v>
      </c>
      <c r="L759">
        <v>0.8</v>
      </c>
      <c r="M759">
        <v>0.1343</v>
      </c>
      <c r="N759">
        <v>3</v>
      </c>
      <c r="O759">
        <v>124</v>
      </c>
      <c r="P759">
        <v>127</v>
      </c>
      <c r="Q759" t="str">
        <f>VLOOKUP(MasterData[[#This Row],[season]],[1]Lookup!$A$2:$B$5,2,FALSE)</f>
        <v>Spring</v>
      </c>
      <c r="R759" t="str">
        <f>TEXT(DATE(2026,E759,1),"mmmm")</f>
        <v>February</v>
      </c>
      <c r="S759" t="str">
        <f>IF(OR(H759=0,H759=6),"Weekend","Weekday")</f>
        <v>Weekday</v>
      </c>
      <c r="T759" s="1" t="str">
        <f>VLOOKUP(I759,[1]Lookup!$D$2:$E$5,2,FALSE)</f>
        <v>Mist / Cloudy</v>
      </c>
      <c r="U759" s="1" t="str">
        <f>IF(F759&lt;6,"Night",
IF(F759&lt;12,"Morning",
IF(F759&lt;17,"Afternoon",
IF(F759&lt;21,"Evening","Night"))))</f>
        <v>Morning</v>
      </c>
      <c r="V759" s="1" t="str">
        <f>IF(J759&lt;0.3,"Cold",
IF(J759&lt;0.6,"Pleasant","Hot"))</f>
        <v>Cold</v>
      </c>
      <c r="W759" s="1" t="str">
        <f>IF(L759&lt;0.4,"Low",
IF(L759&lt;0.7,"Medium","High"))</f>
        <v>High</v>
      </c>
      <c r="X759" s="1" t="str">
        <f>IF(M759&lt;0.2,"Low",
IF(M759&lt;0.4,"Medium","High"))</f>
        <v>Low</v>
      </c>
      <c r="Y759" s="1" t="str">
        <f>IF(P759&lt;100,"Low",
IF(P759&lt;300,"Medium","High"))</f>
        <v>Medium</v>
      </c>
    </row>
    <row r="760" spans="1:25" x14ac:dyDescent="0.3">
      <c r="A760">
        <v>768</v>
      </c>
      <c r="B760" s="2">
        <v>40578</v>
      </c>
      <c r="C760">
        <v>1</v>
      </c>
      <c r="D760">
        <v>0</v>
      </c>
      <c r="E760">
        <v>2</v>
      </c>
      <c r="F760">
        <v>10</v>
      </c>
      <c r="G760" t="b">
        <v>0</v>
      </c>
      <c r="H760">
        <v>5</v>
      </c>
      <c r="I760">
        <v>2</v>
      </c>
      <c r="J760">
        <v>0.2</v>
      </c>
      <c r="K760">
        <v>0.21210000000000001</v>
      </c>
      <c r="L760">
        <v>0.51</v>
      </c>
      <c r="M760">
        <v>0.1343</v>
      </c>
      <c r="N760">
        <v>5</v>
      </c>
      <c r="O760">
        <v>46</v>
      </c>
      <c r="P760">
        <v>51</v>
      </c>
      <c r="Q760" t="str">
        <f>VLOOKUP(MasterData[[#This Row],[season]],[1]Lookup!$A$2:$B$5,2,FALSE)</f>
        <v>Spring</v>
      </c>
      <c r="R760" t="str">
        <f>TEXT(DATE(2026,E760,1),"mmmm")</f>
        <v>February</v>
      </c>
      <c r="S760" t="str">
        <f>IF(OR(H760=0,H760=6),"Weekend","Weekday")</f>
        <v>Weekday</v>
      </c>
      <c r="T760" s="1" t="str">
        <f>VLOOKUP(I760,[1]Lookup!$D$2:$E$5,2,FALSE)</f>
        <v>Mist / Cloudy</v>
      </c>
      <c r="U760" s="1" t="str">
        <f>IF(F760&lt;6,"Night",
IF(F760&lt;12,"Morning",
IF(F760&lt;17,"Afternoon",
IF(F760&lt;21,"Evening","Night"))))</f>
        <v>Morning</v>
      </c>
      <c r="V760" s="1" t="str">
        <f>IF(J760&lt;0.3,"Cold",
IF(J760&lt;0.6,"Pleasant","Hot"))</f>
        <v>Cold</v>
      </c>
      <c r="W760" s="1" t="str">
        <f>IF(L760&lt;0.4,"Low",
IF(L760&lt;0.7,"Medium","High"))</f>
        <v>Medium</v>
      </c>
      <c r="X760" s="1" t="str">
        <f>IF(M760&lt;0.2,"Low",
IF(M760&lt;0.4,"Medium","High"))</f>
        <v>Low</v>
      </c>
      <c r="Y760" s="1" t="str">
        <f>IF(P760&lt;100,"Low",
IF(P760&lt;300,"Medium","High"))</f>
        <v>Low</v>
      </c>
    </row>
    <row r="761" spans="1:25" x14ac:dyDescent="0.3">
      <c r="A761">
        <v>769</v>
      </c>
      <c r="B761" s="2">
        <v>40578</v>
      </c>
      <c r="C761">
        <v>1</v>
      </c>
      <c r="D761">
        <v>0</v>
      </c>
      <c r="E761">
        <v>2</v>
      </c>
      <c r="F761">
        <v>11</v>
      </c>
      <c r="G761" t="b">
        <v>0</v>
      </c>
      <c r="H761">
        <v>5</v>
      </c>
      <c r="I761">
        <v>1</v>
      </c>
      <c r="J761">
        <v>0.22</v>
      </c>
      <c r="K761">
        <v>0.2273</v>
      </c>
      <c r="L761">
        <v>0.51</v>
      </c>
      <c r="M761">
        <v>0.16420000000000001</v>
      </c>
      <c r="N761">
        <v>3</v>
      </c>
      <c r="O761">
        <v>61</v>
      </c>
      <c r="P761">
        <v>64</v>
      </c>
      <c r="Q761" t="str">
        <f>VLOOKUP(MasterData[[#This Row],[season]],[1]Lookup!$A$2:$B$5,2,FALSE)</f>
        <v>Spring</v>
      </c>
      <c r="R761" t="str">
        <f>TEXT(DATE(2026,E761,1),"mmmm")</f>
        <v>February</v>
      </c>
      <c r="S761" t="str">
        <f>IF(OR(H761=0,H761=6),"Weekend","Weekday")</f>
        <v>Weekday</v>
      </c>
      <c r="T761" s="1" t="str">
        <f>VLOOKUP(I761,[1]Lookup!$D$2:$E$5,2,FALSE)</f>
        <v>Clear</v>
      </c>
      <c r="U761" s="1" t="str">
        <f>IF(F761&lt;6,"Night",
IF(F761&lt;12,"Morning",
IF(F761&lt;17,"Afternoon",
IF(F761&lt;21,"Evening","Night"))))</f>
        <v>Morning</v>
      </c>
      <c r="V761" s="1" t="str">
        <f>IF(J761&lt;0.3,"Cold",
IF(J761&lt;0.6,"Pleasant","Hot"))</f>
        <v>Cold</v>
      </c>
      <c r="W761" s="1" t="str">
        <f>IF(L761&lt;0.4,"Low",
IF(L761&lt;0.7,"Medium","High"))</f>
        <v>Medium</v>
      </c>
      <c r="X761" s="1" t="str">
        <f>IF(M761&lt;0.2,"Low",
IF(M761&lt;0.4,"Medium","High"))</f>
        <v>Low</v>
      </c>
      <c r="Y761" s="1" t="str">
        <f>IF(P761&lt;100,"Low",
IF(P761&lt;300,"Medium","High"))</f>
        <v>Low</v>
      </c>
    </row>
    <row r="762" spans="1:25" x14ac:dyDescent="0.3">
      <c r="A762">
        <v>770</v>
      </c>
      <c r="B762" s="2">
        <v>40578</v>
      </c>
      <c r="C762">
        <v>1</v>
      </c>
      <c r="D762">
        <v>0</v>
      </c>
      <c r="E762">
        <v>2</v>
      </c>
      <c r="F762">
        <v>12</v>
      </c>
      <c r="G762" t="b">
        <v>0</v>
      </c>
      <c r="H762">
        <v>5</v>
      </c>
      <c r="I762">
        <v>2</v>
      </c>
      <c r="J762">
        <v>0.24</v>
      </c>
      <c r="K762">
        <v>0.2424</v>
      </c>
      <c r="L762">
        <v>0.48</v>
      </c>
      <c r="M762">
        <v>0.16420000000000001</v>
      </c>
      <c r="N762">
        <v>8</v>
      </c>
      <c r="O762">
        <v>78</v>
      </c>
      <c r="P762">
        <v>86</v>
      </c>
      <c r="Q762" t="str">
        <f>VLOOKUP(MasterData[[#This Row],[season]],[1]Lookup!$A$2:$B$5,2,FALSE)</f>
        <v>Spring</v>
      </c>
      <c r="R762" t="str">
        <f>TEXT(DATE(2026,E762,1),"mmmm")</f>
        <v>February</v>
      </c>
      <c r="S762" t="str">
        <f>IF(OR(H762=0,H762=6),"Weekend","Weekday")</f>
        <v>Weekday</v>
      </c>
      <c r="T762" s="1" t="str">
        <f>VLOOKUP(I762,[1]Lookup!$D$2:$E$5,2,FALSE)</f>
        <v>Mist / Cloudy</v>
      </c>
      <c r="U762" s="1" t="str">
        <f>IF(F762&lt;6,"Night",
IF(F762&lt;12,"Morning",
IF(F762&lt;17,"Afternoon",
IF(F762&lt;21,"Evening","Night"))))</f>
        <v>Afternoon</v>
      </c>
      <c r="V762" s="1" t="str">
        <f>IF(J762&lt;0.3,"Cold",
IF(J762&lt;0.6,"Pleasant","Hot"))</f>
        <v>Cold</v>
      </c>
      <c r="W762" s="1" t="str">
        <f>IF(L762&lt;0.4,"Low",
IF(L762&lt;0.7,"Medium","High"))</f>
        <v>Medium</v>
      </c>
      <c r="X762" s="1" t="str">
        <f>IF(M762&lt;0.2,"Low",
IF(M762&lt;0.4,"Medium","High"))</f>
        <v>Low</v>
      </c>
      <c r="Y762" s="1" t="str">
        <f>IF(P762&lt;100,"Low",
IF(P762&lt;300,"Medium","High"))</f>
        <v>Low</v>
      </c>
    </row>
    <row r="763" spans="1:25" x14ac:dyDescent="0.3">
      <c r="A763">
        <v>771</v>
      </c>
      <c r="B763" s="2">
        <v>40578</v>
      </c>
      <c r="C763">
        <v>1</v>
      </c>
      <c r="D763">
        <v>0</v>
      </c>
      <c r="E763">
        <v>2</v>
      </c>
      <c r="F763">
        <v>13</v>
      </c>
      <c r="G763" t="b">
        <v>0</v>
      </c>
      <c r="H763">
        <v>5</v>
      </c>
      <c r="I763">
        <v>2</v>
      </c>
      <c r="J763">
        <v>0.26</v>
      </c>
      <c r="K763">
        <v>0.2576</v>
      </c>
      <c r="L763">
        <v>0.5</v>
      </c>
      <c r="M763">
        <v>0.22389999999999999</v>
      </c>
      <c r="N763">
        <v>9</v>
      </c>
      <c r="O763">
        <v>73</v>
      </c>
      <c r="P763">
        <v>82</v>
      </c>
      <c r="Q763" t="str">
        <f>VLOOKUP(MasterData[[#This Row],[season]],[1]Lookup!$A$2:$B$5,2,FALSE)</f>
        <v>Spring</v>
      </c>
      <c r="R763" t="str">
        <f>TEXT(DATE(2026,E763,1),"mmmm")</f>
        <v>February</v>
      </c>
      <c r="S763" t="str">
        <f>IF(OR(H763=0,H763=6),"Weekend","Weekday")</f>
        <v>Weekday</v>
      </c>
      <c r="T763" s="1" t="str">
        <f>VLOOKUP(I763,[1]Lookup!$D$2:$E$5,2,FALSE)</f>
        <v>Mist / Cloudy</v>
      </c>
      <c r="U763" s="1" t="str">
        <f>IF(F763&lt;6,"Night",
IF(F763&lt;12,"Morning",
IF(F763&lt;17,"Afternoon",
IF(F763&lt;21,"Evening","Night"))))</f>
        <v>Afternoon</v>
      </c>
      <c r="V763" s="1" t="str">
        <f>IF(J763&lt;0.3,"Cold",
IF(J763&lt;0.6,"Pleasant","Hot"))</f>
        <v>Cold</v>
      </c>
      <c r="W763" s="1" t="str">
        <f>IF(L763&lt;0.4,"Low",
IF(L763&lt;0.7,"Medium","High"))</f>
        <v>Medium</v>
      </c>
      <c r="X763" s="1" t="str">
        <f>IF(M763&lt;0.2,"Low",
IF(M763&lt;0.4,"Medium","High"))</f>
        <v>Medium</v>
      </c>
      <c r="Y763" s="1" t="str">
        <f>IF(P763&lt;100,"Low",
IF(P763&lt;300,"Medium","High"))</f>
        <v>Low</v>
      </c>
    </row>
    <row r="764" spans="1:25" x14ac:dyDescent="0.3">
      <c r="A764">
        <v>772</v>
      </c>
      <c r="B764" s="2">
        <v>40578</v>
      </c>
      <c r="C764">
        <v>1</v>
      </c>
      <c r="D764">
        <v>0</v>
      </c>
      <c r="E764">
        <v>2</v>
      </c>
      <c r="F764">
        <v>14</v>
      </c>
      <c r="G764" t="b">
        <v>0</v>
      </c>
      <c r="H764">
        <v>5</v>
      </c>
      <c r="I764">
        <v>2</v>
      </c>
      <c r="J764">
        <v>0.28000000000000003</v>
      </c>
      <c r="K764">
        <v>0.2727</v>
      </c>
      <c r="L764">
        <v>0.45</v>
      </c>
      <c r="M764">
        <v>0.16420000000000001</v>
      </c>
      <c r="N764">
        <v>15</v>
      </c>
      <c r="O764">
        <v>76</v>
      </c>
      <c r="P764">
        <v>91</v>
      </c>
      <c r="Q764" t="str">
        <f>VLOOKUP(MasterData[[#This Row],[season]],[1]Lookup!$A$2:$B$5,2,FALSE)</f>
        <v>Spring</v>
      </c>
      <c r="R764" t="str">
        <f>TEXT(DATE(2026,E764,1),"mmmm")</f>
        <v>February</v>
      </c>
      <c r="S764" t="str">
        <f>IF(OR(H764=0,H764=6),"Weekend","Weekday")</f>
        <v>Weekday</v>
      </c>
      <c r="T764" s="1" t="str">
        <f>VLOOKUP(I764,[1]Lookup!$D$2:$E$5,2,FALSE)</f>
        <v>Mist / Cloudy</v>
      </c>
      <c r="U764" s="1" t="str">
        <f>IF(F764&lt;6,"Night",
IF(F764&lt;12,"Morning",
IF(F764&lt;17,"Afternoon",
IF(F764&lt;21,"Evening","Night"))))</f>
        <v>Afternoon</v>
      </c>
      <c r="V764" s="1" t="str">
        <f>IF(J764&lt;0.3,"Cold",
IF(J764&lt;0.6,"Pleasant","Hot"))</f>
        <v>Cold</v>
      </c>
      <c r="W764" s="1" t="str">
        <f>IF(L764&lt;0.4,"Low",
IF(L764&lt;0.7,"Medium","High"))</f>
        <v>Medium</v>
      </c>
      <c r="X764" s="1" t="str">
        <f>IF(M764&lt;0.2,"Low",
IF(M764&lt;0.4,"Medium","High"))</f>
        <v>Low</v>
      </c>
      <c r="Y764" s="1" t="str">
        <f>IF(P764&lt;100,"Low",
IF(P764&lt;300,"Medium","High"))</f>
        <v>Low</v>
      </c>
    </row>
    <row r="765" spans="1:25" x14ac:dyDescent="0.3">
      <c r="A765">
        <v>773</v>
      </c>
      <c r="B765" s="2">
        <v>40578</v>
      </c>
      <c r="C765">
        <v>1</v>
      </c>
      <c r="D765">
        <v>0</v>
      </c>
      <c r="E765">
        <v>2</v>
      </c>
      <c r="F765">
        <v>15</v>
      </c>
      <c r="G765" t="b">
        <v>0</v>
      </c>
      <c r="H765">
        <v>5</v>
      </c>
      <c r="I765">
        <v>2</v>
      </c>
      <c r="J765">
        <v>0.28000000000000003</v>
      </c>
      <c r="K765">
        <v>0.2727</v>
      </c>
      <c r="L765">
        <v>0.48</v>
      </c>
      <c r="M765">
        <v>0.25369999999999998</v>
      </c>
      <c r="N765">
        <v>9</v>
      </c>
      <c r="O765">
        <v>81</v>
      </c>
      <c r="P765">
        <v>90</v>
      </c>
      <c r="Q765" t="str">
        <f>VLOOKUP(MasterData[[#This Row],[season]],[1]Lookup!$A$2:$B$5,2,FALSE)</f>
        <v>Spring</v>
      </c>
      <c r="R765" t="str">
        <f>TEXT(DATE(2026,E765,1),"mmmm")</f>
        <v>February</v>
      </c>
      <c r="S765" t="str">
        <f>IF(OR(H765=0,H765=6),"Weekend","Weekday")</f>
        <v>Weekday</v>
      </c>
      <c r="T765" s="1" t="str">
        <f>VLOOKUP(I765,[1]Lookup!$D$2:$E$5,2,FALSE)</f>
        <v>Mist / Cloudy</v>
      </c>
      <c r="U765" s="1" t="str">
        <f>IF(F765&lt;6,"Night",
IF(F765&lt;12,"Morning",
IF(F765&lt;17,"Afternoon",
IF(F765&lt;21,"Evening","Night"))))</f>
        <v>Afternoon</v>
      </c>
      <c r="V765" s="1" t="str">
        <f>IF(J765&lt;0.3,"Cold",
IF(J765&lt;0.6,"Pleasant","Hot"))</f>
        <v>Cold</v>
      </c>
      <c r="W765" s="1" t="str">
        <f>IF(L765&lt;0.4,"Low",
IF(L765&lt;0.7,"Medium","High"))</f>
        <v>Medium</v>
      </c>
      <c r="X765" s="1" t="str">
        <f>IF(M765&lt;0.2,"Low",
IF(M765&lt;0.4,"Medium","High"))</f>
        <v>Medium</v>
      </c>
      <c r="Y765" s="1" t="str">
        <f>IF(P765&lt;100,"Low",
IF(P765&lt;300,"Medium","High"))</f>
        <v>Low</v>
      </c>
    </row>
    <row r="766" spans="1:25" x14ac:dyDescent="0.3">
      <c r="A766">
        <v>774</v>
      </c>
      <c r="B766" s="2">
        <v>40578</v>
      </c>
      <c r="C766">
        <v>1</v>
      </c>
      <c r="D766">
        <v>0</v>
      </c>
      <c r="E766">
        <v>2</v>
      </c>
      <c r="F766">
        <v>16</v>
      </c>
      <c r="G766" t="b">
        <v>0</v>
      </c>
      <c r="H766">
        <v>5</v>
      </c>
      <c r="I766">
        <v>2</v>
      </c>
      <c r="J766">
        <v>0.3</v>
      </c>
      <c r="K766">
        <v>0.28789999999999999</v>
      </c>
      <c r="L766">
        <v>0.42</v>
      </c>
      <c r="M766">
        <v>0.22389999999999999</v>
      </c>
      <c r="N766">
        <v>8</v>
      </c>
      <c r="O766">
        <v>91</v>
      </c>
      <c r="P766">
        <v>99</v>
      </c>
      <c r="Q766" t="str">
        <f>VLOOKUP(MasterData[[#This Row],[season]],[1]Lookup!$A$2:$B$5,2,FALSE)</f>
        <v>Spring</v>
      </c>
      <c r="R766" t="str">
        <f>TEXT(DATE(2026,E766,1),"mmmm")</f>
        <v>February</v>
      </c>
      <c r="S766" t="str">
        <f>IF(OR(H766=0,H766=6),"Weekend","Weekday")</f>
        <v>Weekday</v>
      </c>
      <c r="T766" s="1" t="str">
        <f>VLOOKUP(I766,[1]Lookup!$D$2:$E$5,2,FALSE)</f>
        <v>Mist / Cloudy</v>
      </c>
      <c r="U766" s="1" t="str">
        <f>IF(F766&lt;6,"Night",
IF(F766&lt;12,"Morning",
IF(F766&lt;17,"Afternoon",
IF(F766&lt;21,"Evening","Night"))))</f>
        <v>Afternoon</v>
      </c>
      <c r="V766" s="1" t="str">
        <f>IF(J766&lt;0.3,"Cold",
IF(J766&lt;0.6,"Pleasant","Hot"))</f>
        <v>Pleasant</v>
      </c>
      <c r="W766" s="1" t="str">
        <f>IF(L766&lt;0.4,"Low",
IF(L766&lt;0.7,"Medium","High"))</f>
        <v>Medium</v>
      </c>
      <c r="X766" s="1" t="str">
        <f>IF(M766&lt;0.2,"Low",
IF(M766&lt;0.4,"Medium","High"))</f>
        <v>Medium</v>
      </c>
      <c r="Y766" s="1" t="str">
        <f>IF(P766&lt;100,"Low",
IF(P766&lt;300,"Medium","High"))</f>
        <v>Low</v>
      </c>
    </row>
    <row r="767" spans="1:25" x14ac:dyDescent="0.3">
      <c r="A767">
        <v>775</v>
      </c>
      <c r="B767" s="2">
        <v>40578</v>
      </c>
      <c r="C767">
        <v>1</v>
      </c>
      <c r="D767">
        <v>0</v>
      </c>
      <c r="E767">
        <v>2</v>
      </c>
      <c r="F767">
        <v>17</v>
      </c>
      <c r="G767" t="b">
        <v>0</v>
      </c>
      <c r="H767">
        <v>5</v>
      </c>
      <c r="I767">
        <v>2</v>
      </c>
      <c r="J767">
        <v>0.26</v>
      </c>
      <c r="K767">
        <v>0.2727</v>
      </c>
      <c r="L767">
        <v>0.56000000000000005</v>
      </c>
      <c r="M767">
        <v>0.1343</v>
      </c>
      <c r="N767">
        <v>10</v>
      </c>
      <c r="O767">
        <v>195</v>
      </c>
      <c r="P767">
        <v>205</v>
      </c>
      <c r="Q767" t="str">
        <f>VLOOKUP(MasterData[[#This Row],[season]],[1]Lookup!$A$2:$B$5,2,FALSE)</f>
        <v>Spring</v>
      </c>
      <c r="R767" t="str">
        <f>TEXT(DATE(2026,E767,1),"mmmm")</f>
        <v>February</v>
      </c>
      <c r="S767" t="str">
        <f>IF(OR(H767=0,H767=6),"Weekend","Weekday")</f>
        <v>Weekday</v>
      </c>
      <c r="T767" s="1" t="str">
        <f>VLOOKUP(I767,[1]Lookup!$D$2:$E$5,2,FALSE)</f>
        <v>Mist / Cloudy</v>
      </c>
      <c r="U767" s="1" t="str">
        <f>IF(F767&lt;6,"Night",
IF(F767&lt;12,"Morning",
IF(F767&lt;17,"Afternoon",
IF(F767&lt;21,"Evening","Night"))))</f>
        <v>Evening</v>
      </c>
      <c r="V767" s="1" t="str">
        <f>IF(J767&lt;0.3,"Cold",
IF(J767&lt;0.6,"Pleasant","Hot"))</f>
        <v>Cold</v>
      </c>
      <c r="W767" s="1" t="str">
        <f>IF(L767&lt;0.4,"Low",
IF(L767&lt;0.7,"Medium","High"))</f>
        <v>Medium</v>
      </c>
      <c r="X767" s="1" t="str">
        <f>IF(M767&lt;0.2,"Low",
IF(M767&lt;0.4,"Medium","High"))</f>
        <v>Low</v>
      </c>
      <c r="Y767" s="1" t="str">
        <f>IF(P767&lt;100,"Low",
IF(P767&lt;300,"Medium","High"))</f>
        <v>Medium</v>
      </c>
    </row>
    <row r="768" spans="1:25" x14ac:dyDescent="0.3">
      <c r="A768">
        <v>776</v>
      </c>
      <c r="B768" s="2">
        <v>40578</v>
      </c>
      <c r="C768">
        <v>1</v>
      </c>
      <c r="D768">
        <v>0</v>
      </c>
      <c r="E768">
        <v>2</v>
      </c>
      <c r="F768">
        <v>18</v>
      </c>
      <c r="G768" t="b">
        <v>0</v>
      </c>
      <c r="H768">
        <v>5</v>
      </c>
      <c r="I768">
        <v>2</v>
      </c>
      <c r="J768">
        <v>0.24</v>
      </c>
      <c r="K768">
        <v>0.2576</v>
      </c>
      <c r="L768">
        <v>0.6</v>
      </c>
      <c r="M768">
        <v>0.1045</v>
      </c>
      <c r="N768">
        <v>3</v>
      </c>
      <c r="O768">
        <v>152</v>
      </c>
      <c r="P768">
        <v>155</v>
      </c>
      <c r="Q768" t="str">
        <f>VLOOKUP(MasterData[[#This Row],[season]],[1]Lookup!$A$2:$B$5,2,FALSE)</f>
        <v>Spring</v>
      </c>
      <c r="R768" t="str">
        <f>TEXT(DATE(2026,E768,1),"mmmm")</f>
        <v>February</v>
      </c>
      <c r="S768" t="str">
        <f>IF(OR(H768=0,H768=6),"Weekend","Weekday")</f>
        <v>Weekday</v>
      </c>
      <c r="T768" s="1" t="str">
        <f>VLOOKUP(I768,[1]Lookup!$D$2:$E$5,2,FALSE)</f>
        <v>Mist / Cloudy</v>
      </c>
      <c r="U768" s="1" t="str">
        <f>IF(F768&lt;6,"Night",
IF(F768&lt;12,"Morning",
IF(F768&lt;17,"Afternoon",
IF(F768&lt;21,"Evening","Night"))))</f>
        <v>Evening</v>
      </c>
      <c r="V768" s="1" t="str">
        <f>IF(J768&lt;0.3,"Cold",
IF(J768&lt;0.6,"Pleasant","Hot"))</f>
        <v>Cold</v>
      </c>
      <c r="W768" s="1" t="str">
        <f>IF(L768&lt;0.4,"Low",
IF(L768&lt;0.7,"Medium","High"))</f>
        <v>Medium</v>
      </c>
      <c r="X768" s="1" t="str">
        <f>IF(M768&lt;0.2,"Low",
IF(M768&lt;0.4,"Medium","High"))</f>
        <v>Low</v>
      </c>
      <c r="Y768" s="1" t="str">
        <f>IF(P768&lt;100,"Low",
IF(P768&lt;300,"Medium","High"))</f>
        <v>Medium</v>
      </c>
    </row>
    <row r="769" spans="1:25" x14ac:dyDescent="0.3">
      <c r="A769">
        <v>777</v>
      </c>
      <c r="B769" s="2">
        <v>40578</v>
      </c>
      <c r="C769">
        <v>1</v>
      </c>
      <c r="D769">
        <v>0</v>
      </c>
      <c r="E769">
        <v>2</v>
      </c>
      <c r="F769">
        <v>19</v>
      </c>
      <c r="G769" t="b">
        <v>0</v>
      </c>
      <c r="H769">
        <v>5</v>
      </c>
      <c r="I769">
        <v>2</v>
      </c>
      <c r="J769">
        <v>0.24</v>
      </c>
      <c r="K769">
        <v>0.2424</v>
      </c>
      <c r="L769">
        <v>0.65</v>
      </c>
      <c r="M769">
        <v>0.1343</v>
      </c>
      <c r="N769">
        <v>1</v>
      </c>
      <c r="O769">
        <v>102</v>
      </c>
      <c r="P769">
        <v>103</v>
      </c>
      <c r="Q769" t="str">
        <f>VLOOKUP(MasterData[[#This Row],[season]],[1]Lookup!$A$2:$B$5,2,FALSE)</f>
        <v>Spring</v>
      </c>
      <c r="R769" t="str">
        <f>TEXT(DATE(2026,E769,1),"mmmm")</f>
        <v>February</v>
      </c>
      <c r="S769" t="str">
        <f>IF(OR(H769=0,H769=6),"Weekend","Weekday")</f>
        <v>Weekday</v>
      </c>
      <c r="T769" s="1" t="str">
        <f>VLOOKUP(I769,[1]Lookup!$D$2:$E$5,2,FALSE)</f>
        <v>Mist / Cloudy</v>
      </c>
      <c r="U769" s="1" t="str">
        <f>IF(F769&lt;6,"Night",
IF(F769&lt;12,"Morning",
IF(F769&lt;17,"Afternoon",
IF(F769&lt;21,"Evening","Night"))))</f>
        <v>Evening</v>
      </c>
      <c r="V769" s="1" t="str">
        <f>IF(J769&lt;0.3,"Cold",
IF(J769&lt;0.6,"Pleasant","Hot"))</f>
        <v>Cold</v>
      </c>
      <c r="W769" s="1" t="str">
        <f>IF(L769&lt;0.4,"Low",
IF(L769&lt;0.7,"Medium","High"))</f>
        <v>Medium</v>
      </c>
      <c r="X769" s="1" t="str">
        <f>IF(M769&lt;0.2,"Low",
IF(M769&lt;0.4,"Medium","High"))</f>
        <v>Low</v>
      </c>
      <c r="Y769" s="1" t="str">
        <f>IF(P769&lt;100,"Low",
IF(P769&lt;300,"Medium","High"))</f>
        <v>Medium</v>
      </c>
    </row>
    <row r="770" spans="1:25" x14ac:dyDescent="0.3">
      <c r="A770">
        <v>778</v>
      </c>
      <c r="B770" s="2">
        <v>40578</v>
      </c>
      <c r="C770">
        <v>1</v>
      </c>
      <c r="D770">
        <v>0</v>
      </c>
      <c r="E770">
        <v>2</v>
      </c>
      <c r="F770">
        <v>20</v>
      </c>
      <c r="G770" t="b">
        <v>0</v>
      </c>
      <c r="H770">
        <v>5</v>
      </c>
      <c r="I770">
        <v>2</v>
      </c>
      <c r="J770">
        <v>0.24</v>
      </c>
      <c r="K770">
        <v>0.2424</v>
      </c>
      <c r="L770">
        <v>0.65</v>
      </c>
      <c r="M770">
        <v>0.16420000000000001</v>
      </c>
      <c r="N770">
        <v>2</v>
      </c>
      <c r="O770">
        <v>69</v>
      </c>
      <c r="P770">
        <v>71</v>
      </c>
      <c r="Q770" t="str">
        <f>VLOOKUP(MasterData[[#This Row],[season]],[1]Lookup!$A$2:$B$5,2,FALSE)</f>
        <v>Spring</v>
      </c>
      <c r="R770" t="str">
        <f>TEXT(DATE(2026,E770,1),"mmmm")</f>
        <v>February</v>
      </c>
      <c r="S770" t="str">
        <f>IF(OR(H770=0,H770=6),"Weekend","Weekday")</f>
        <v>Weekday</v>
      </c>
      <c r="T770" s="1" t="str">
        <f>VLOOKUP(I770,[1]Lookup!$D$2:$E$5,2,FALSE)</f>
        <v>Mist / Cloudy</v>
      </c>
      <c r="U770" s="1" t="str">
        <f>IF(F770&lt;6,"Night",
IF(F770&lt;12,"Morning",
IF(F770&lt;17,"Afternoon",
IF(F770&lt;21,"Evening","Night"))))</f>
        <v>Evening</v>
      </c>
      <c r="V770" s="1" t="str">
        <f>IF(J770&lt;0.3,"Cold",
IF(J770&lt;0.6,"Pleasant","Hot"))</f>
        <v>Cold</v>
      </c>
      <c r="W770" s="1" t="str">
        <f>IF(L770&lt;0.4,"Low",
IF(L770&lt;0.7,"Medium","High"))</f>
        <v>Medium</v>
      </c>
      <c r="X770" s="1" t="str">
        <f>IF(M770&lt;0.2,"Low",
IF(M770&lt;0.4,"Medium","High"))</f>
        <v>Low</v>
      </c>
      <c r="Y770" s="1" t="str">
        <f>IF(P770&lt;100,"Low",
IF(P770&lt;300,"Medium","High"))</f>
        <v>Low</v>
      </c>
    </row>
    <row r="771" spans="1:25" x14ac:dyDescent="0.3">
      <c r="A771">
        <v>779</v>
      </c>
      <c r="B771" s="2">
        <v>40578</v>
      </c>
      <c r="C771">
        <v>1</v>
      </c>
      <c r="D771">
        <v>0</v>
      </c>
      <c r="E771">
        <v>2</v>
      </c>
      <c r="F771">
        <v>21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0.7</v>
      </c>
      <c r="M771">
        <v>0.16420000000000001</v>
      </c>
      <c r="N771">
        <v>2</v>
      </c>
      <c r="O771">
        <v>41</v>
      </c>
      <c r="P771">
        <v>43</v>
      </c>
      <c r="Q771" t="str">
        <f>VLOOKUP(MasterData[[#This Row],[season]],[1]Lookup!$A$2:$B$5,2,FALSE)</f>
        <v>Spring</v>
      </c>
      <c r="R771" t="str">
        <f>TEXT(DATE(2026,E771,1),"mmmm")</f>
        <v>February</v>
      </c>
      <c r="S771" t="str">
        <f>IF(OR(H771=0,H771=6),"Weekend","Weekday")</f>
        <v>Weekday</v>
      </c>
      <c r="T771" s="1" t="str">
        <f>VLOOKUP(I771,[1]Lookup!$D$2:$E$5,2,FALSE)</f>
        <v>Mist / Cloudy</v>
      </c>
      <c r="U771" s="1" t="str">
        <f>IF(F771&lt;6,"Night",
IF(F771&lt;12,"Morning",
IF(F771&lt;17,"Afternoon",
IF(F771&lt;21,"Evening","Night"))))</f>
        <v>Night</v>
      </c>
      <c r="V771" s="1" t="str">
        <f>IF(J771&lt;0.3,"Cold",
IF(J771&lt;0.6,"Pleasant","Hot"))</f>
        <v>Cold</v>
      </c>
      <c r="W771" s="1" t="str">
        <f>IF(L771&lt;0.4,"Low",
IF(L771&lt;0.7,"Medium","High"))</f>
        <v>High</v>
      </c>
      <c r="X771" s="1" t="str">
        <f>IF(M771&lt;0.2,"Low",
IF(M771&lt;0.4,"Medium","High"))</f>
        <v>Low</v>
      </c>
      <c r="Y771" s="1" t="str">
        <f>IF(P771&lt;100,"Low",
IF(P771&lt;300,"Medium","High"))</f>
        <v>Low</v>
      </c>
    </row>
    <row r="772" spans="1:25" x14ac:dyDescent="0.3">
      <c r="A772">
        <v>780</v>
      </c>
      <c r="B772" s="2">
        <v>40578</v>
      </c>
      <c r="C772">
        <v>1</v>
      </c>
      <c r="D772">
        <v>0</v>
      </c>
      <c r="E772">
        <v>2</v>
      </c>
      <c r="F772">
        <v>22</v>
      </c>
      <c r="G772" t="b">
        <v>0</v>
      </c>
      <c r="H772">
        <v>5</v>
      </c>
      <c r="I772">
        <v>2</v>
      </c>
      <c r="J772">
        <v>0.24</v>
      </c>
      <c r="K772">
        <v>0.2424</v>
      </c>
      <c r="L772">
        <v>0.65</v>
      </c>
      <c r="M772">
        <v>0.16420000000000001</v>
      </c>
      <c r="N772">
        <v>1</v>
      </c>
      <c r="O772">
        <v>45</v>
      </c>
      <c r="P772">
        <v>46</v>
      </c>
      <c r="Q772" t="str">
        <f>VLOOKUP(MasterData[[#This Row],[season]],[1]Lookup!$A$2:$B$5,2,FALSE)</f>
        <v>Spring</v>
      </c>
      <c r="R772" t="str">
        <f>TEXT(DATE(2026,E772,1),"mmmm")</f>
        <v>February</v>
      </c>
      <c r="S772" t="str">
        <f>IF(OR(H772=0,H772=6),"Weekend","Weekday")</f>
        <v>Weekday</v>
      </c>
      <c r="T772" s="1" t="str">
        <f>VLOOKUP(I772,[1]Lookup!$D$2:$E$5,2,FALSE)</f>
        <v>Mist / Cloudy</v>
      </c>
      <c r="U772" s="1" t="str">
        <f>IF(F772&lt;6,"Night",
IF(F772&lt;12,"Morning",
IF(F772&lt;17,"Afternoon",
IF(F772&lt;21,"Evening","Night"))))</f>
        <v>Night</v>
      </c>
      <c r="V772" s="1" t="str">
        <f>IF(J772&lt;0.3,"Cold",
IF(J772&lt;0.6,"Pleasant","Hot"))</f>
        <v>Cold</v>
      </c>
      <c r="W772" s="1" t="str">
        <f>IF(L772&lt;0.4,"Low",
IF(L772&lt;0.7,"Medium","High"))</f>
        <v>Medium</v>
      </c>
      <c r="X772" s="1" t="str">
        <f>IF(M772&lt;0.2,"Low",
IF(M772&lt;0.4,"Medium","High"))</f>
        <v>Low</v>
      </c>
      <c r="Y772" s="1" t="str">
        <f>IF(P772&lt;100,"Low",
IF(P772&lt;300,"Medium","High"))</f>
        <v>Low</v>
      </c>
    </row>
    <row r="773" spans="1:25" x14ac:dyDescent="0.3">
      <c r="A773">
        <v>781</v>
      </c>
      <c r="B773" s="2">
        <v>40578</v>
      </c>
      <c r="C773">
        <v>1</v>
      </c>
      <c r="D773">
        <v>0</v>
      </c>
      <c r="E773">
        <v>2</v>
      </c>
      <c r="F773">
        <v>23</v>
      </c>
      <c r="G773" t="b">
        <v>0</v>
      </c>
      <c r="H773">
        <v>5</v>
      </c>
      <c r="I773">
        <v>2</v>
      </c>
      <c r="J773">
        <v>0.24</v>
      </c>
      <c r="K773">
        <v>0.2424</v>
      </c>
      <c r="L773">
        <v>0.7</v>
      </c>
      <c r="M773">
        <v>0.1343</v>
      </c>
      <c r="N773">
        <v>1</v>
      </c>
      <c r="O773">
        <v>30</v>
      </c>
      <c r="P773">
        <v>31</v>
      </c>
      <c r="Q773" t="str">
        <f>VLOOKUP(MasterData[[#This Row],[season]],[1]Lookup!$A$2:$B$5,2,FALSE)</f>
        <v>Spring</v>
      </c>
      <c r="R773" t="str">
        <f>TEXT(DATE(2026,E773,1),"mmmm")</f>
        <v>February</v>
      </c>
      <c r="S773" t="str">
        <f>IF(OR(H773=0,H773=6),"Weekend","Weekday")</f>
        <v>Weekday</v>
      </c>
      <c r="T773" s="1" t="str">
        <f>VLOOKUP(I773,[1]Lookup!$D$2:$E$5,2,FALSE)</f>
        <v>Mist / Cloudy</v>
      </c>
      <c r="U773" s="1" t="str">
        <f>IF(F773&lt;6,"Night",
IF(F773&lt;12,"Morning",
IF(F773&lt;17,"Afternoon",
IF(F773&lt;21,"Evening","Night"))))</f>
        <v>Night</v>
      </c>
      <c r="V773" s="1" t="str">
        <f>IF(J773&lt;0.3,"Cold",
IF(J773&lt;0.6,"Pleasant","Hot"))</f>
        <v>Cold</v>
      </c>
      <c r="W773" s="1" t="str">
        <f>IF(L773&lt;0.4,"Low",
IF(L773&lt;0.7,"Medium","High"))</f>
        <v>High</v>
      </c>
      <c r="X773" s="1" t="str">
        <f>IF(M773&lt;0.2,"Low",
IF(M773&lt;0.4,"Medium","High"))</f>
        <v>Low</v>
      </c>
      <c r="Y773" s="1" t="str">
        <f>IF(P773&lt;100,"Low",
IF(P773&lt;300,"Medium","High"))</f>
        <v>Low</v>
      </c>
    </row>
    <row r="774" spans="1:25" x14ac:dyDescent="0.3">
      <c r="A774">
        <v>782</v>
      </c>
      <c r="B774" s="2">
        <v>40579</v>
      </c>
      <c r="C774">
        <v>1</v>
      </c>
      <c r="D774">
        <v>0</v>
      </c>
      <c r="E774">
        <v>2</v>
      </c>
      <c r="F774">
        <v>0</v>
      </c>
      <c r="G774" t="b">
        <v>0</v>
      </c>
      <c r="H774">
        <v>6</v>
      </c>
      <c r="I774">
        <v>2</v>
      </c>
      <c r="J774">
        <v>0.24</v>
      </c>
      <c r="K774">
        <v>0.2424</v>
      </c>
      <c r="L774">
        <v>0.7</v>
      </c>
      <c r="M774">
        <v>0.16420000000000001</v>
      </c>
      <c r="N774">
        <v>3</v>
      </c>
      <c r="O774">
        <v>36</v>
      </c>
      <c r="P774">
        <v>39</v>
      </c>
      <c r="Q774" t="str">
        <f>VLOOKUP(MasterData[[#This Row],[season]],[1]Lookup!$A$2:$B$5,2,FALSE)</f>
        <v>Spring</v>
      </c>
      <c r="R774" t="str">
        <f>TEXT(DATE(2026,E774,1),"mmmm")</f>
        <v>February</v>
      </c>
      <c r="S774" t="str">
        <f>IF(OR(H774=0,H774=6),"Weekend","Weekday")</f>
        <v>Weekend</v>
      </c>
      <c r="T774" s="1" t="str">
        <f>VLOOKUP(I774,[1]Lookup!$D$2:$E$5,2,FALSE)</f>
        <v>Mist / Cloudy</v>
      </c>
      <c r="U774" s="1" t="str">
        <f>IF(F774&lt;6,"Night",
IF(F774&lt;12,"Morning",
IF(F774&lt;17,"Afternoon",
IF(F774&lt;21,"Evening","Night"))))</f>
        <v>Night</v>
      </c>
      <c r="V774" s="1" t="str">
        <f>IF(J774&lt;0.3,"Cold",
IF(J774&lt;0.6,"Pleasant","Hot"))</f>
        <v>Cold</v>
      </c>
      <c r="W774" s="1" t="str">
        <f>IF(L774&lt;0.4,"Low",
IF(L774&lt;0.7,"Medium","High"))</f>
        <v>High</v>
      </c>
      <c r="X774" s="1" t="str">
        <f>IF(M774&lt;0.2,"Low",
IF(M774&lt;0.4,"Medium","High"))</f>
        <v>Low</v>
      </c>
      <c r="Y774" s="1" t="str">
        <f>IF(P774&lt;100,"Low",
IF(P774&lt;300,"Medium","High"))</f>
        <v>Low</v>
      </c>
    </row>
    <row r="775" spans="1:25" x14ac:dyDescent="0.3">
      <c r="A775">
        <v>783</v>
      </c>
      <c r="B775" s="2">
        <v>40579</v>
      </c>
      <c r="C775">
        <v>1</v>
      </c>
      <c r="D775">
        <v>0</v>
      </c>
      <c r="E775">
        <v>2</v>
      </c>
      <c r="F775">
        <v>1</v>
      </c>
      <c r="G775" t="b">
        <v>0</v>
      </c>
      <c r="H775">
        <v>6</v>
      </c>
      <c r="I775">
        <v>2</v>
      </c>
      <c r="J775">
        <v>0.24</v>
      </c>
      <c r="K775">
        <v>0.2424</v>
      </c>
      <c r="L775">
        <v>0.65</v>
      </c>
      <c r="M775">
        <v>0.16420000000000001</v>
      </c>
      <c r="N775">
        <v>1</v>
      </c>
      <c r="O775">
        <v>17</v>
      </c>
      <c r="P775">
        <v>18</v>
      </c>
      <c r="Q775" t="str">
        <f>VLOOKUP(MasterData[[#This Row],[season]],[1]Lookup!$A$2:$B$5,2,FALSE)</f>
        <v>Spring</v>
      </c>
      <c r="R775" t="str">
        <f>TEXT(DATE(2026,E775,1),"mmmm")</f>
        <v>February</v>
      </c>
      <c r="S775" t="str">
        <f>IF(OR(H775=0,H775=6),"Weekend","Weekday")</f>
        <v>Weekend</v>
      </c>
      <c r="T775" s="1" t="str">
        <f>VLOOKUP(I775,[1]Lookup!$D$2:$E$5,2,FALSE)</f>
        <v>Mist / Cloudy</v>
      </c>
      <c r="U775" s="1" t="str">
        <f>IF(F775&lt;6,"Night",
IF(F775&lt;12,"Morning",
IF(F775&lt;17,"Afternoon",
IF(F775&lt;21,"Evening","Night"))))</f>
        <v>Night</v>
      </c>
      <c r="V775" s="1" t="str">
        <f>IF(J775&lt;0.3,"Cold",
IF(J775&lt;0.6,"Pleasant","Hot"))</f>
        <v>Cold</v>
      </c>
      <c r="W775" s="1" t="str">
        <f>IF(L775&lt;0.4,"Low",
IF(L775&lt;0.7,"Medium","High"))</f>
        <v>Medium</v>
      </c>
      <c r="X775" s="1" t="str">
        <f>IF(M775&lt;0.2,"Low",
IF(M775&lt;0.4,"Medium","High"))</f>
        <v>Low</v>
      </c>
      <c r="Y775" s="1" t="str">
        <f>IF(P775&lt;100,"Low",
IF(P775&lt;300,"Medium","High"))</f>
        <v>Low</v>
      </c>
    </row>
    <row r="776" spans="1:25" x14ac:dyDescent="0.3">
      <c r="A776">
        <v>784</v>
      </c>
      <c r="B776" s="2">
        <v>40579</v>
      </c>
      <c r="C776">
        <v>1</v>
      </c>
      <c r="D776">
        <v>0</v>
      </c>
      <c r="E776">
        <v>2</v>
      </c>
      <c r="F776">
        <v>2</v>
      </c>
      <c r="G776" t="b">
        <v>0</v>
      </c>
      <c r="H776">
        <v>6</v>
      </c>
      <c r="I776">
        <v>2</v>
      </c>
      <c r="J776">
        <v>0.24</v>
      </c>
      <c r="K776">
        <v>0.2424</v>
      </c>
      <c r="L776">
        <v>0.75</v>
      </c>
      <c r="M776">
        <v>0.16420000000000001</v>
      </c>
      <c r="N776">
        <v>5</v>
      </c>
      <c r="O776">
        <v>12</v>
      </c>
      <c r="P776">
        <v>17</v>
      </c>
      <c r="Q776" t="str">
        <f>VLOOKUP(MasterData[[#This Row],[season]],[1]Lookup!$A$2:$B$5,2,FALSE)</f>
        <v>Spring</v>
      </c>
      <c r="R776" t="str">
        <f>TEXT(DATE(2026,E776,1),"mmmm")</f>
        <v>February</v>
      </c>
      <c r="S776" t="str">
        <f>IF(OR(H776=0,H776=6),"Weekend","Weekday")</f>
        <v>Weekend</v>
      </c>
      <c r="T776" s="1" t="str">
        <f>VLOOKUP(I776,[1]Lookup!$D$2:$E$5,2,FALSE)</f>
        <v>Mist / Cloudy</v>
      </c>
      <c r="U776" s="1" t="str">
        <f>IF(F776&lt;6,"Night",
IF(F776&lt;12,"Morning",
IF(F776&lt;17,"Afternoon",
IF(F776&lt;21,"Evening","Night"))))</f>
        <v>Night</v>
      </c>
      <c r="V776" s="1" t="str">
        <f>IF(J776&lt;0.3,"Cold",
IF(J776&lt;0.6,"Pleasant","Hot"))</f>
        <v>Cold</v>
      </c>
      <c r="W776" s="1" t="str">
        <f>IF(L776&lt;0.4,"Low",
IF(L776&lt;0.7,"Medium","High"))</f>
        <v>High</v>
      </c>
      <c r="X776" s="1" t="str">
        <f>IF(M776&lt;0.2,"Low",
IF(M776&lt;0.4,"Medium","High"))</f>
        <v>Low</v>
      </c>
      <c r="Y776" s="1" t="str">
        <f>IF(P776&lt;100,"Low",
IF(P776&lt;300,"Medium","High"))</f>
        <v>Low</v>
      </c>
    </row>
    <row r="777" spans="1:25" x14ac:dyDescent="0.3">
      <c r="A777">
        <v>785</v>
      </c>
      <c r="B777" s="2">
        <v>40579</v>
      </c>
      <c r="C777">
        <v>1</v>
      </c>
      <c r="D777">
        <v>0</v>
      </c>
      <c r="E777">
        <v>2</v>
      </c>
      <c r="F777">
        <v>3</v>
      </c>
      <c r="G777" t="b">
        <v>0</v>
      </c>
      <c r="H777">
        <v>6</v>
      </c>
      <c r="I777">
        <v>2</v>
      </c>
      <c r="J777">
        <v>0.24</v>
      </c>
      <c r="K777">
        <v>0.2424</v>
      </c>
      <c r="L777">
        <v>0.75</v>
      </c>
      <c r="M777">
        <v>0.16420000000000001</v>
      </c>
      <c r="N777">
        <v>1</v>
      </c>
      <c r="O777">
        <v>10</v>
      </c>
      <c r="P777">
        <v>11</v>
      </c>
      <c r="Q777" t="str">
        <f>VLOOKUP(MasterData[[#This Row],[season]],[1]Lookup!$A$2:$B$5,2,FALSE)</f>
        <v>Spring</v>
      </c>
      <c r="R777" t="str">
        <f>TEXT(DATE(2026,E777,1),"mmmm")</f>
        <v>February</v>
      </c>
      <c r="S777" t="str">
        <f>IF(OR(H777=0,H777=6),"Weekend","Weekday")</f>
        <v>Weekend</v>
      </c>
      <c r="T777" s="1" t="str">
        <f>VLOOKUP(I777,[1]Lookup!$D$2:$E$5,2,FALSE)</f>
        <v>Mist / Cloudy</v>
      </c>
      <c r="U777" s="1" t="str">
        <f>IF(F777&lt;6,"Night",
IF(F777&lt;12,"Morning",
IF(F777&lt;17,"Afternoon",
IF(F777&lt;21,"Evening","Night"))))</f>
        <v>Night</v>
      </c>
      <c r="V777" s="1" t="str">
        <f>IF(J777&lt;0.3,"Cold",
IF(J777&lt;0.6,"Pleasant","Hot"))</f>
        <v>Cold</v>
      </c>
      <c r="W777" s="1" t="str">
        <f>IF(L777&lt;0.4,"Low",
IF(L777&lt;0.7,"Medium","High"))</f>
        <v>High</v>
      </c>
      <c r="X777" s="1" t="str">
        <f>IF(M777&lt;0.2,"Low",
IF(M777&lt;0.4,"Medium","High"))</f>
        <v>Low</v>
      </c>
      <c r="Y777" s="1" t="str">
        <f>IF(P777&lt;100,"Low",
IF(P777&lt;300,"Medium","High"))</f>
        <v>Low</v>
      </c>
    </row>
    <row r="778" spans="1:25" x14ac:dyDescent="0.3">
      <c r="A778">
        <v>786</v>
      </c>
      <c r="B778" s="2">
        <v>40579</v>
      </c>
      <c r="C778">
        <v>1</v>
      </c>
      <c r="D778">
        <v>0</v>
      </c>
      <c r="E778">
        <v>2</v>
      </c>
      <c r="F778">
        <v>4</v>
      </c>
      <c r="G778" t="b">
        <v>0</v>
      </c>
      <c r="H778">
        <v>6</v>
      </c>
      <c r="I778">
        <v>3</v>
      </c>
      <c r="J778">
        <v>0.22</v>
      </c>
      <c r="K778">
        <v>0.2273</v>
      </c>
      <c r="L778">
        <v>0.93</v>
      </c>
      <c r="M778">
        <v>0.1343</v>
      </c>
      <c r="N778">
        <v>0</v>
      </c>
      <c r="O778">
        <v>8</v>
      </c>
      <c r="P778">
        <v>8</v>
      </c>
      <c r="Q778" t="str">
        <f>VLOOKUP(MasterData[[#This Row],[season]],[1]Lookup!$A$2:$B$5,2,FALSE)</f>
        <v>Spring</v>
      </c>
      <c r="R778" t="str">
        <f>TEXT(DATE(2026,E778,1),"mmmm")</f>
        <v>February</v>
      </c>
      <c r="S778" t="str">
        <f>IF(OR(H778=0,H778=6),"Weekend","Weekday")</f>
        <v>Weekend</v>
      </c>
      <c r="T778" s="1" t="str">
        <f>VLOOKUP(I778,[1]Lookup!$D$2:$E$5,2,FALSE)</f>
        <v>Light Rain / Snow</v>
      </c>
      <c r="U778" s="1" t="str">
        <f>IF(F778&lt;6,"Night",
IF(F778&lt;12,"Morning",
IF(F778&lt;17,"Afternoon",
IF(F778&lt;21,"Evening","Night"))))</f>
        <v>Night</v>
      </c>
      <c r="V778" s="1" t="str">
        <f>IF(J778&lt;0.3,"Cold",
IF(J778&lt;0.6,"Pleasant","Hot"))</f>
        <v>Cold</v>
      </c>
      <c r="W778" s="1" t="str">
        <f>IF(L778&lt;0.4,"Low",
IF(L778&lt;0.7,"Medium","High"))</f>
        <v>High</v>
      </c>
      <c r="X778" s="1" t="str">
        <f>IF(M778&lt;0.2,"Low",
IF(M778&lt;0.4,"Medium","High"))</f>
        <v>Low</v>
      </c>
      <c r="Y778" s="1" t="str">
        <f>IF(P778&lt;100,"Low",
IF(P778&lt;300,"Medium","High"))</f>
        <v>Low</v>
      </c>
    </row>
    <row r="779" spans="1:25" x14ac:dyDescent="0.3">
      <c r="A779">
        <v>787</v>
      </c>
      <c r="B779" s="2">
        <v>40579</v>
      </c>
      <c r="C779">
        <v>1</v>
      </c>
      <c r="D779">
        <v>0</v>
      </c>
      <c r="E779">
        <v>2</v>
      </c>
      <c r="F779">
        <v>5</v>
      </c>
      <c r="G779" t="b">
        <v>0</v>
      </c>
      <c r="H779">
        <v>6</v>
      </c>
      <c r="I779">
        <v>3</v>
      </c>
      <c r="J779">
        <v>0.2</v>
      </c>
      <c r="K779">
        <v>0.2273</v>
      </c>
      <c r="L779">
        <v>1</v>
      </c>
      <c r="M779">
        <v>8.9599999999999999E-2</v>
      </c>
      <c r="N779">
        <v>0</v>
      </c>
      <c r="O779">
        <v>9</v>
      </c>
      <c r="P779">
        <v>9</v>
      </c>
      <c r="Q779" t="str">
        <f>VLOOKUP(MasterData[[#This Row],[season]],[1]Lookup!$A$2:$B$5,2,FALSE)</f>
        <v>Spring</v>
      </c>
      <c r="R779" t="str">
        <f>TEXT(DATE(2026,E779,1),"mmmm")</f>
        <v>February</v>
      </c>
      <c r="S779" t="str">
        <f>IF(OR(H779=0,H779=6),"Weekend","Weekday")</f>
        <v>Weekend</v>
      </c>
      <c r="T779" s="1" t="str">
        <f>VLOOKUP(I779,[1]Lookup!$D$2:$E$5,2,FALSE)</f>
        <v>Light Rain / Snow</v>
      </c>
      <c r="U779" s="1" t="str">
        <f>IF(F779&lt;6,"Night",
IF(F779&lt;12,"Morning",
IF(F779&lt;17,"Afternoon",
IF(F779&lt;21,"Evening","Night"))))</f>
        <v>Night</v>
      </c>
      <c r="V779" s="1" t="str">
        <f>IF(J779&lt;0.3,"Cold",
IF(J779&lt;0.6,"Pleasant","Hot"))</f>
        <v>Cold</v>
      </c>
      <c r="W779" s="1" t="str">
        <f>IF(L779&lt;0.4,"Low",
IF(L779&lt;0.7,"Medium","High"))</f>
        <v>High</v>
      </c>
      <c r="X779" s="1" t="str">
        <f>IF(M779&lt;0.2,"Low",
IF(M779&lt;0.4,"Medium","High"))</f>
        <v>Low</v>
      </c>
      <c r="Y779" s="1" t="str">
        <f>IF(P779&lt;100,"Low",
IF(P779&lt;300,"Medium","High"))</f>
        <v>Low</v>
      </c>
    </row>
    <row r="780" spans="1:25" x14ac:dyDescent="0.3">
      <c r="A780">
        <v>788</v>
      </c>
      <c r="B780" s="2">
        <v>40579</v>
      </c>
      <c r="C780">
        <v>1</v>
      </c>
      <c r="D780">
        <v>0</v>
      </c>
      <c r="E780">
        <v>2</v>
      </c>
      <c r="F780">
        <v>6</v>
      </c>
      <c r="G780" t="b">
        <v>0</v>
      </c>
      <c r="H780">
        <v>6</v>
      </c>
      <c r="I780">
        <v>3</v>
      </c>
      <c r="J780">
        <v>0.2</v>
      </c>
      <c r="K780">
        <v>0.2576</v>
      </c>
      <c r="L780">
        <v>1</v>
      </c>
      <c r="M780">
        <v>0</v>
      </c>
      <c r="N780">
        <v>0</v>
      </c>
      <c r="O780">
        <v>4</v>
      </c>
      <c r="P780">
        <v>4</v>
      </c>
      <c r="Q780" t="str">
        <f>VLOOKUP(MasterData[[#This Row],[season]],[1]Lookup!$A$2:$B$5,2,FALSE)</f>
        <v>Spring</v>
      </c>
      <c r="R780" t="str">
        <f>TEXT(DATE(2026,E780,1),"mmmm")</f>
        <v>February</v>
      </c>
      <c r="S780" t="str">
        <f>IF(OR(H780=0,H780=6),"Weekend","Weekday")</f>
        <v>Weekend</v>
      </c>
      <c r="T780" s="1" t="str">
        <f>VLOOKUP(I780,[1]Lookup!$D$2:$E$5,2,FALSE)</f>
        <v>Light Rain / Snow</v>
      </c>
      <c r="U780" s="1" t="str">
        <f>IF(F780&lt;6,"Night",
IF(F780&lt;12,"Morning",
IF(F780&lt;17,"Afternoon",
IF(F780&lt;21,"Evening","Night"))))</f>
        <v>Morning</v>
      </c>
      <c r="V780" s="1" t="str">
        <f>IF(J780&lt;0.3,"Cold",
IF(J780&lt;0.6,"Pleasant","Hot"))</f>
        <v>Cold</v>
      </c>
      <c r="W780" s="1" t="str">
        <f>IF(L780&lt;0.4,"Low",
IF(L780&lt;0.7,"Medium","High"))</f>
        <v>High</v>
      </c>
      <c r="X780" s="1" t="str">
        <f>IF(M780&lt;0.2,"Low",
IF(M780&lt;0.4,"Medium","High"))</f>
        <v>Low</v>
      </c>
      <c r="Y780" s="1" t="str">
        <f>IF(P780&lt;100,"Low",
IF(P780&lt;300,"Medium","High"))</f>
        <v>Low</v>
      </c>
    </row>
    <row r="781" spans="1:25" x14ac:dyDescent="0.3">
      <c r="A781">
        <v>789</v>
      </c>
      <c r="B781" s="2">
        <v>40579</v>
      </c>
      <c r="C781">
        <v>1</v>
      </c>
      <c r="D781">
        <v>0</v>
      </c>
      <c r="E781">
        <v>2</v>
      </c>
      <c r="F781">
        <v>7</v>
      </c>
      <c r="G781" t="b">
        <v>0</v>
      </c>
      <c r="H781">
        <v>6</v>
      </c>
      <c r="I781">
        <v>3</v>
      </c>
      <c r="J781">
        <v>0.22</v>
      </c>
      <c r="K781">
        <v>0.2576</v>
      </c>
      <c r="L781">
        <v>0.93</v>
      </c>
      <c r="M781">
        <v>8.9599999999999999E-2</v>
      </c>
      <c r="N781">
        <v>0</v>
      </c>
      <c r="O781">
        <v>4</v>
      </c>
      <c r="P781">
        <v>4</v>
      </c>
      <c r="Q781" t="str">
        <f>VLOOKUP(MasterData[[#This Row],[season]],[1]Lookup!$A$2:$B$5,2,FALSE)</f>
        <v>Spring</v>
      </c>
      <c r="R781" t="str">
        <f>TEXT(DATE(2026,E781,1),"mmmm")</f>
        <v>February</v>
      </c>
      <c r="S781" t="str">
        <f>IF(OR(H781=0,H781=6),"Weekend","Weekday")</f>
        <v>Weekend</v>
      </c>
      <c r="T781" s="1" t="str">
        <f>VLOOKUP(I781,[1]Lookup!$D$2:$E$5,2,FALSE)</f>
        <v>Light Rain / Snow</v>
      </c>
      <c r="U781" s="1" t="str">
        <f>IF(F781&lt;6,"Night",
IF(F781&lt;12,"Morning",
IF(F781&lt;17,"Afternoon",
IF(F781&lt;21,"Evening","Night"))))</f>
        <v>Morning</v>
      </c>
      <c r="V781" s="1" t="str">
        <f>IF(J781&lt;0.3,"Cold",
IF(J781&lt;0.6,"Pleasant","Hot"))</f>
        <v>Cold</v>
      </c>
      <c r="W781" s="1" t="str">
        <f>IF(L781&lt;0.4,"Low",
IF(L781&lt;0.7,"Medium","High"))</f>
        <v>High</v>
      </c>
      <c r="X781" s="1" t="str">
        <f>IF(M781&lt;0.2,"Low",
IF(M781&lt;0.4,"Medium","High"))</f>
        <v>Low</v>
      </c>
      <c r="Y781" s="1" t="str">
        <f>IF(P781&lt;100,"Low",
IF(P781&lt;300,"Medium","High"))</f>
        <v>Low</v>
      </c>
    </row>
    <row r="782" spans="1:25" x14ac:dyDescent="0.3">
      <c r="A782">
        <v>790</v>
      </c>
      <c r="B782" s="2">
        <v>40579</v>
      </c>
      <c r="C782">
        <v>1</v>
      </c>
      <c r="D782">
        <v>0</v>
      </c>
      <c r="E782">
        <v>2</v>
      </c>
      <c r="F782">
        <v>8</v>
      </c>
      <c r="G782" t="b">
        <v>0</v>
      </c>
      <c r="H782">
        <v>6</v>
      </c>
      <c r="I782">
        <v>3</v>
      </c>
      <c r="J782">
        <v>0.2</v>
      </c>
      <c r="K782">
        <v>0.2273</v>
      </c>
      <c r="L782">
        <v>1</v>
      </c>
      <c r="M782">
        <v>8.9599999999999999E-2</v>
      </c>
      <c r="N782">
        <v>0</v>
      </c>
      <c r="O782">
        <v>10</v>
      </c>
      <c r="P782">
        <v>10</v>
      </c>
      <c r="Q782" t="str">
        <f>VLOOKUP(MasterData[[#This Row],[season]],[1]Lookup!$A$2:$B$5,2,FALSE)</f>
        <v>Spring</v>
      </c>
      <c r="R782" t="str">
        <f>TEXT(DATE(2026,E782,1),"mmmm")</f>
        <v>February</v>
      </c>
      <c r="S782" t="str">
        <f>IF(OR(H782=0,H782=6),"Weekend","Weekday")</f>
        <v>Weekend</v>
      </c>
      <c r="T782" s="1" t="str">
        <f>VLOOKUP(I782,[1]Lookup!$D$2:$E$5,2,FALSE)</f>
        <v>Light Rain / Snow</v>
      </c>
      <c r="U782" s="1" t="str">
        <f>IF(F782&lt;6,"Night",
IF(F782&lt;12,"Morning",
IF(F782&lt;17,"Afternoon",
IF(F782&lt;21,"Evening","Night"))))</f>
        <v>Morning</v>
      </c>
      <c r="V782" s="1" t="str">
        <f>IF(J782&lt;0.3,"Cold",
IF(J782&lt;0.6,"Pleasant","Hot"))</f>
        <v>Cold</v>
      </c>
      <c r="W782" s="1" t="str">
        <f>IF(L782&lt;0.4,"Low",
IF(L782&lt;0.7,"Medium","High"))</f>
        <v>High</v>
      </c>
      <c r="X782" s="1" t="str">
        <f>IF(M782&lt;0.2,"Low",
IF(M782&lt;0.4,"Medium","High"))</f>
        <v>Low</v>
      </c>
      <c r="Y782" s="1" t="str">
        <f>IF(P782&lt;100,"Low",
IF(P782&lt;300,"Medium","High"))</f>
        <v>Low</v>
      </c>
    </row>
    <row r="783" spans="1:25" x14ac:dyDescent="0.3">
      <c r="A783">
        <v>791</v>
      </c>
      <c r="B783" s="2">
        <v>40579</v>
      </c>
      <c r="C783">
        <v>1</v>
      </c>
      <c r="D783">
        <v>0</v>
      </c>
      <c r="E783">
        <v>2</v>
      </c>
      <c r="F783">
        <v>9</v>
      </c>
      <c r="G783" t="b">
        <v>0</v>
      </c>
      <c r="H783">
        <v>6</v>
      </c>
      <c r="I783">
        <v>3</v>
      </c>
      <c r="J783">
        <v>0.2</v>
      </c>
      <c r="K783">
        <v>0.2273</v>
      </c>
      <c r="L783">
        <v>1</v>
      </c>
      <c r="M783">
        <v>8.9599999999999999E-2</v>
      </c>
      <c r="N783">
        <v>3</v>
      </c>
      <c r="O783">
        <v>17</v>
      </c>
      <c r="P783">
        <v>20</v>
      </c>
      <c r="Q783" t="str">
        <f>VLOOKUP(MasterData[[#This Row],[season]],[1]Lookup!$A$2:$B$5,2,FALSE)</f>
        <v>Spring</v>
      </c>
      <c r="R783" t="str">
        <f>TEXT(DATE(2026,E783,1),"mmmm")</f>
        <v>February</v>
      </c>
      <c r="S783" t="str">
        <f>IF(OR(H783=0,H783=6),"Weekend","Weekday")</f>
        <v>Weekend</v>
      </c>
      <c r="T783" s="1" t="str">
        <f>VLOOKUP(I783,[1]Lookup!$D$2:$E$5,2,FALSE)</f>
        <v>Light Rain / Snow</v>
      </c>
      <c r="U783" s="1" t="str">
        <f>IF(F783&lt;6,"Night",
IF(F783&lt;12,"Morning",
IF(F783&lt;17,"Afternoon",
IF(F783&lt;21,"Evening","Night"))))</f>
        <v>Morning</v>
      </c>
      <c r="V783" s="1" t="str">
        <f>IF(J783&lt;0.3,"Cold",
IF(J783&lt;0.6,"Pleasant","Hot"))</f>
        <v>Cold</v>
      </c>
      <c r="W783" s="1" t="str">
        <f>IF(L783&lt;0.4,"Low",
IF(L783&lt;0.7,"Medium","High"))</f>
        <v>High</v>
      </c>
      <c r="X783" s="1" t="str">
        <f>IF(M783&lt;0.2,"Low",
IF(M783&lt;0.4,"Medium","High"))</f>
        <v>Low</v>
      </c>
      <c r="Y783" s="1" t="str">
        <f>IF(P783&lt;100,"Low",
IF(P783&lt;300,"Medium","High"))</f>
        <v>Low</v>
      </c>
    </row>
    <row r="784" spans="1:25" x14ac:dyDescent="0.3">
      <c r="A784">
        <v>792</v>
      </c>
      <c r="B784" s="2">
        <v>40579</v>
      </c>
      <c r="C784">
        <v>1</v>
      </c>
      <c r="D784">
        <v>0</v>
      </c>
      <c r="E784">
        <v>2</v>
      </c>
      <c r="F784">
        <v>10</v>
      </c>
      <c r="G784" t="b">
        <v>0</v>
      </c>
      <c r="H784">
        <v>6</v>
      </c>
      <c r="I784">
        <v>3</v>
      </c>
      <c r="J784">
        <v>0.2</v>
      </c>
      <c r="K784">
        <v>0.21210000000000001</v>
      </c>
      <c r="L784">
        <v>1</v>
      </c>
      <c r="M784">
        <v>0.1343</v>
      </c>
      <c r="N784">
        <v>3</v>
      </c>
      <c r="O784">
        <v>31</v>
      </c>
      <c r="P784">
        <v>34</v>
      </c>
      <c r="Q784" t="str">
        <f>VLOOKUP(MasterData[[#This Row],[season]],[1]Lookup!$A$2:$B$5,2,FALSE)</f>
        <v>Spring</v>
      </c>
      <c r="R784" t="str">
        <f>TEXT(DATE(2026,E784,1),"mmmm")</f>
        <v>February</v>
      </c>
      <c r="S784" t="str">
        <f>IF(OR(H784=0,H784=6),"Weekend","Weekday")</f>
        <v>Weekend</v>
      </c>
      <c r="T784" s="1" t="str">
        <f>VLOOKUP(I784,[1]Lookup!$D$2:$E$5,2,FALSE)</f>
        <v>Light Rain / Snow</v>
      </c>
      <c r="U784" s="1" t="str">
        <f>IF(F784&lt;6,"Night",
IF(F784&lt;12,"Morning",
IF(F784&lt;17,"Afternoon",
IF(F784&lt;21,"Evening","Night"))))</f>
        <v>Morning</v>
      </c>
      <c r="V784" s="1" t="str">
        <f>IF(J784&lt;0.3,"Cold",
IF(J784&lt;0.6,"Pleasant","Hot"))</f>
        <v>Cold</v>
      </c>
      <c r="W784" s="1" t="str">
        <f>IF(L784&lt;0.4,"Low",
IF(L784&lt;0.7,"Medium","High"))</f>
        <v>High</v>
      </c>
      <c r="X784" s="1" t="str">
        <f>IF(M784&lt;0.2,"Low",
IF(M784&lt;0.4,"Medium","High"))</f>
        <v>Low</v>
      </c>
      <c r="Y784" s="1" t="str">
        <f>IF(P784&lt;100,"Low",
IF(P784&lt;300,"Medium","High"))</f>
        <v>Low</v>
      </c>
    </row>
    <row r="785" spans="1:25" x14ac:dyDescent="0.3">
      <c r="A785">
        <v>793</v>
      </c>
      <c r="B785" s="2">
        <v>40579</v>
      </c>
      <c r="C785">
        <v>1</v>
      </c>
      <c r="D785">
        <v>0</v>
      </c>
      <c r="E785">
        <v>2</v>
      </c>
      <c r="F785">
        <v>11</v>
      </c>
      <c r="G785" t="b">
        <v>0</v>
      </c>
      <c r="H785">
        <v>6</v>
      </c>
      <c r="I785">
        <v>3</v>
      </c>
      <c r="J785">
        <v>0.22</v>
      </c>
      <c r="K785">
        <v>0.2273</v>
      </c>
      <c r="L785">
        <v>1</v>
      </c>
      <c r="M785">
        <v>0.1343</v>
      </c>
      <c r="N785">
        <v>1</v>
      </c>
      <c r="O785">
        <v>46</v>
      </c>
      <c r="P785">
        <v>47</v>
      </c>
      <c r="Q785" t="str">
        <f>VLOOKUP(MasterData[[#This Row],[season]],[1]Lookup!$A$2:$B$5,2,FALSE)</f>
        <v>Spring</v>
      </c>
      <c r="R785" t="str">
        <f>TEXT(DATE(2026,E785,1),"mmmm")</f>
        <v>February</v>
      </c>
      <c r="S785" t="str">
        <f>IF(OR(H785=0,H785=6),"Weekend","Weekday")</f>
        <v>Weekend</v>
      </c>
      <c r="T785" s="1" t="str">
        <f>VLOOKUP(I785,[1]Lookup!$D$2:$E$5,2,FALSE)</f>
        <v>Light Rain / Snow</v>
      </c>
      <c r="U785" s="1" t="str">
        <f>IF(F785&lt;6,"Night",
IF(F785&lt;12,"Morning",
IF(F785&lt;17,"Afternoon",
IF(F785&lt;21,"Evening","Night"))))</f>
        <v>Morning</v>
      </c>
      <c r="V785" s="1" t="str">
        <f>IF(J785&lt;0.3,"Cold",
IF(J785&lt;0.6,"Pleasant","Hot"))</f>
        <v>Cold</v>
      </c>
      <c r="W785" s="1" t="str">
        <f>IF(L785&lt;0.4,"Low",
IF(L785&lt;0.7,"Medium","High"))</f>
        <v>High</v>
      </c>
      <c r="X785" s="1" t="str">
        <f>IF(M785&lt;0.2,"Low",
IF(M785&lt;0.4,"Medium","High"))</f>
        <v>Low</v>
      </c>
      <c r="Y785" s="1" t="str">
        <f>IF(P785&lt;100,"Low",
IF(P785&lt;300,"Medium","High"))</f>
        <v>Low</v>
      </c>
    </row>
    <row r="786" spans="1:25" x14ac:dyDescent="0.3">
      <c r="A786">
        <v>794</v>
      </c>
      <c r="B786" s="2">
        <v>40579</v>
      </c>
      <c r="C786">
        <v>1</v>
      </c>
      <c r="D786">
        <v>0</v>
      </c>
      <c r="E786">
        <v>2</v>
      </c>
      <c r="F786">
        <v>12</v>
      </c>
      <c r="G786" t="b">
        <v>0</v>
      </c>
      <c r="H786">
        <v>6</v>
      </c>
      <c r="I786">
        <v>3</v>
      </c>
      <c r="J786">
        <v>0.22</v>
      </c>
      <c r="K786">
        <v>0.2273</v>
      </c>
      <c r="L786">
        <v>1</v>
      </c>
      <c r="M786">
        <v>0.16420000000000001</v>
      </c>
      <c r="N786">
        <v>10</v>
      </c>
      <c r="O786">
        <v>42</v>
      </c>
      <c r="P786">
        <v>52</v>
      </c>
      <c r="Q786" t="str">
        <f>VLOOKUP(MasterData[[#This Row],[season]],[1]Lookup!$A$2:$B$5,2,FALSE)</f>
        <v>Spring</v>
      </c>
      <c r="R786" t="str">
        <f>TEXT(DATE(2026,E786,1),"mmmm")</f>
        <v>February</v>
      </c>
      <c r="S786" t="str">
        <f>IF(OR(H786=0,H786=6),"Weekend","Weekday")</f>
        <v>Weekend</v>
      </c>
      <c r="T786" s="1" t="str">
        <f>VLOOKUP(I786,[1]Lookup!$D$2:$E$5,2,FALSE)</f>
        <v>Light Rain / Snow</v>
      </c>
      <c r="U786" s="1" t="str">
        <f>IF(F786&lt;6,"Night",
IF(F786&lt;12,"Morning",
IF(F786&lt;17,"Afternoon",
IF(F786&lt;21,"Evening","Night"))))</f>
        <v>Afternoon</v>
      </c>
      <c r="V786" s="1" t="str">
        <f>IF(J786&lt;0.3,"Cold",
IF(J786&lt;0.6,"Pleasant","Hot"))</f>
        <v>Cold</v>
      </c>
      <c r="W786" s="1" t="str">
        <f>IF(L786&lt;0.4,"Low",
IF(L786&lt;0.7,"Medium","High"))</f>
        <v>High</v>
      </c>
      <c r="X786" s="1" t="str">
        <f>IF(M786&lt;0.2,"Low",
IF(M786&lt;0.4,"Medium","High"))</f>
        <v>Low</v>
      </c>
      <c r="Y786" s="1" t="str">
        <f>IF(P786&lt;100,"Low",
IF(P786&lt;300,"Medium","High"))</f>
        <v>Low</v>
      </c>
    </row>
    <row r="787" spans="1:25" x14ac:dyDescent="0.3">
      <c r="A787">
        <v>795</v>
      </c>
      <c r="B787" s="2">
        <v>40579</v>
      </c>
      <c r="C787">
        <v>1</v>
      </c>
      <c r="D787">
        <v>0</v>
      </c>
      <c r="E787">
        <v>2</v>
      </c>
      <c r="F787">
        <v>13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1</v>
      </c>
      <c r="M787">
        <v>0.16420000000000001</v>
      </c>
      <c r="N787">
        <v>10</v>
      </c>
      <c r="O787">
        <v>62</v>
      </c>
      <c r="P787">
        <v>72</v>
      </c>
      <c r="Q787" t="str">
        <f>VLOOKUP(MasterData[[#This Row],[season]],[1]Lookup!$A$2:$B$5,2,FALSE)</f>
        <v>Spring</v>
      </c>
      <c r="R787" t="str">
        <f>TEXT(DATE(2026,E787,1),"mmmm")</f>
        <v>February</v>
      </c>
      <c r="S787" t="str">
        <f>IF(OR(H787=0,H787=6),"Weekend","Weekday")</f>
        <v>Weekend</v>
      </c>
      <c r="T787" s="1" t="str">
        <f>VLOOKUP(I787,[1]Lookup!$D$2:$E$5,2,FALSE)</f>
        <v>Light Rain / Snow</v>
      </c>
      <c r="U787" s="1" t="str">
        <f>IF(F787&lt;6,"Night",
IF(F787&lt;12,"Morning",
IF(F787&lt;17,"Afternoon",
IF(F787&lt;21,"Evening","Night"))))</f>
        <v>Afternoon</v>
      </c>
      <c r="V787" s="1" t="str">
        <f>IF(J787&lt;0.3,"Cold",
IF(J787&lt;0.6,"Pleasant","Hot"))</f>
        <v>Cold</v>
      </c>
      <c r="W787" s="1" t="str">
        <f>IF(L787&lt;0.4,"Low",
IF(L787&lt;0.7,"Medium","High"))</f>
        <v>High</v>
      </c>
      <c r="X787" s="1" t="str">
        <f>IF(M787&lt;0.2,"Low",
IF(M787&lt;0.4,"Medium","High"))</f>
        <v>Low</v>
      </c>
      <c r="Y787" s="1" t="str">
        <f>IF(P787&lt;100,"Low",
IF(P787&lt;300,"Medium","High"))</f>
        <v>Low</v>
      </c>
    </row>
    <row r="788" spans="1:25" x14ac:dyDescent="0.3">
      <c r="A788">
        <v>796</v>
      </c>
      <c r="B788" s="2">
        <v>40579</v>
      </c>
      <c r="C788">
        <v>1</v>
      </c>
      <c r="D788">
        <v>0</v>
      </c>
      <c r="E788">
        <v>2</v>
      </c>
      <c r="F788">
        <v>14</v>
      </c>
      <c r="G788" t="b">
        <v>0</v>
      </c>
      <c r="H788">
        <v>6</v>
      </c>
      <c r="I788">
        <v>3</v>
      </c>
      <c r="J788">
        <v>0.22</v>
      </c>
      <c r="K788">
        <v>0.2727</v>
      </c>
      <c r="L788">
        <v>1</v>
      </c>
      <c r="M788">
        <v>0</v>
      </c>
      <c r="N788">
        <v>5</v>
      </c>
      <c r="O788">
        <v>50</v>
      </c>
      <c r="P788">
        <v>55</v>
      </c>
      <c r="Q788" t="str">
        <f>VLOOKUP(MasterData[[#This Row],[season]],[1]Lookup!$A$2:$B$5,2,FALSE)</f>
        <v>Spring</v>
      </c>
      <c r="R788" t="str">
        <f>TEXT(DATE(2026,E788,1),"mmmm")</f>
        <v>February</v>
      </c>
      <c r="S788" t="str">
        <f>IF(OR(H788=0,H788=6),"Weekend","Weekday")</f>
        <v>Weekend</v>
      </c>
      <c r="T788" s="1" t="str">
        <f>VLOOKUP(I788,[1]Lookup!$D$2:$E$5,2,FALSE)</f>
        <v>Light Rain / Snow</v>
      </c>
      <c r="U788" s="1" t="str">
        <f>IF(F788&lt;6,"Night",
IF(F788&lt;12,"Morning",
IF(F788&lt;17,"Afternoon",
IF(F788&lt;21,"Evening","Night"))))</f>
        <v>Afternoon</v>
      </c>
      <c r="V788" s="1" t="str">
        <f>IF(J788&lt;0.3,"Cold",
IF(J788&lt;0.6,"Pleasant","Hot"))</f>
        <v>Cold</v>
      </c>
      <c r="W788" s="1" t="str">
        <f>IF(L788&lt;0.4,"Low",
IF(L788&lt;0.7,"Medium","High"))</f>
        <v>High</v>
      </c>
      <c r="X788" s="1" t="str">
        <f>IF(M788&lt;0.2,"Low",
IF(M788&lt;0.4,"Medium","High"))</f>
        <v>Low</v>
      </c>
      <c r="Y788" s="1" t="str">
        <f>IF(P788&lt;100,"Low",
IF(P788&lt;300,"Medium","High"))</f>
        <v>Low</v>
      </c>
    </row>
    <row r="789" spans="1:25" x14ac:dyDescent="0.3">
      <c r="A789">
        <v>797</v>
      </c>
      <c r="B789" s="2">
        <v>40579</v>
      </c>
      <c r="C789">
        <v>1</v>
      </c>
      <c r="D789">
        <v>0</v>
      </c>
      <c r="E789">
        <v>2</v>
      </c>
      <c r="F789">
        <v>15</v>
      </c>
      <c r="G789" t="b">
        <v>0</v>
      </c>
      <c r="H789">
        <v>6</v>
      </c>
      <c r="I789">
        <v>3</v>
      </c>
      <c r="J789">
        <v>0.22</v>
      </c>
      <c r="K789">
        <v>0.2727</v>
      </c>
      <c r="L789">
        <v>1</v>
      </c>
      <c r="M789">
        <v>0</v>
      </c>
      <c r="N789">
        <v>11</v>
      </c>
      <c r="O789">
        <v>49</v>
      </c>
      <c r="P789">
        <v>60</v>
      </c>
      <c r="Q789" t="str">
        <f>VLOOKUP(MasterData[[#This Row],[season]],[1]Lookup!$A$2:$B$5,2,FALSE)</f>
        <v>Spring</v>
      </c>
      <c r="R789" t="str">
        <f>TEXT(DATE(2026,E789,1),"mmmm")</f>
        <v>February</v>
      </c>
      <c r="S789" t="str">
        <f>IF(OR(H789=0,H789=6),"Weekend","Weekday")</f>
        <v>Weekend</v>
      </c>
      <c r="T789" s="1" t="str">
        <f>VLOOKUP(I789,[1]Lookup!$D$2:$E$5,2,FALSE)</f>
        <v>Light Rain / Snow</v>
      </c>
      <c r="U789" s="1" t="str">
        <f>IF(F789&lt;6,"Night",
IF(F789&lt;12,"Morning",
IF(F789&lt;17,"Afternoon",
IF(F789&lt;21,"Evening","Night"))))</f>
        <v>Afternoon</v>
      </c>
      <c r="V789" s="1" t="str">
        <f>IF(J789&lt;0.3,"Cold",
IF(J789&lt;0.6,"Pleasant","Hot"))</f>
        <v>Cold</v>
      </c>
      <c r="W789" s="1" t="str">
        <f>IF(L789&lt;0.4,"Low",
IF(L789&lt;0.7,"Medium","High"))</f>
        <v>High</v>
      </c>
      <c r="X789" s="1" t="str">
        <f>IF(M789&lt;0.2,"Low",
IF(M789&lt;0.4,"Medium","High"))</f>
        <v>Low</v>
      </c>
      <c r="Y789" s="1" t="str">
        <f>IF(P789&lt;100,"Low",
IF(P789&lt;300,"Medium","High"))</f>
        <v>Low</v>
      </c>
    </row>
    <row r="790" spans="1:25" x14ac:dyDescent="0.3">
      <c r="A790">
        <v>798</v>
      </c>
      <c r="B790" s="2">
        <v>40579</v>
      </c>
      <c r="C790">
        <v>1</v>
      </c>
      <c r="D790">
        <v>0</v>
      </c>
      <c r="E790">
        <v>2</v>
      </c>
      <c r="F790">
        <v>16</v>
      </c>
      <c r="G790" t="b">
        <v>0</v>
      </c>
      <c r="H790">
        <v>6</v>
      </c>
      <c r="I790">
        <v>3</v>
      </c>
      <c r="J790">
        <v>0.22</v>
      </c>
      <c r="K790">
        <v>0.2273</v>
      </c>
      <c r="L790">
        <v>1</v>
      </c>
      <c r="M790">
        <v>0.1343</v>
      </c>
      <c r="N790">
        <v>8</v>
      </c>
      <c r="O790">
        <v>63</v>
      </c>
      <c r="P790">
        <v>71</v>
      </c>
      <c r="Q790" t="str">
        <f>VLOOKUP(MasterData[[#This Row],[season]],[1]Lookup!$A$2:$B$5,2,FALSE)</f>
        <v>Spring</v>
      </c>
      <c r="R790" t="str">
        <f>TEXT(DATE(2026,E790,1),"mmmm")</f>
        <v>February</v>
      </c>
      <c r="S790" t="str">
        <f>IF(OR(H790=0,H790=6),"Weekend","Weekday")</f>
        <v>Weekend</v>
      </c>
      <c r="T790" s="1" t="str">
        <f>VLOOKUP(I790,[1]Lookup!$D$2:$E$5,2,FALSE)</f>
        <v>Light Rain / Snow</v>
      </c>
      <c r="U790" s="1" t="str">
        <f>IF(F790&lt;6,"Night",
IF(F790&lt;12,"Morning",
IF(F790&lt;17,"Afternoon",
IF(F790&lt;21,"Evening","Night"))))</f>
        <v>Afternoon</v>
      </c>
      <c r="V790" s="1" t="str">
        <f>IF(J790&lt;0.3,"Cold",
IF(J790&lt;0.6,"Pleasant","Hot"))</f>
        <v>Cold</v>
      </c>
      <c r="W790" s="1" t="str">
        <f>IF(L790&lt;0.4,"Low",
IF(L790&lt;0.7,"Medium","High"))</f>
        <v>High</v>
      </c>
      <c r="X790" s="1" t="str">
        <f>IF(M790&lt;0.2,"Low",
IF(M790&lt;0.4,"Medium","High"))</f>
        <v>Low</v>
      </c>
      <c r="Y790" s="1" t="str">
        <f>IF(P790&lt;100,"Low",
IF(P790&lt;300,"Medium","High"))</f>
        <v>Low</v>
      </c>
    </row>
    <row r="791" spans="1:25" x14ac:dyDescent="0.3">
      <c r="A791">
        <v>799</v>
      </c>
      <c r="B791" s="2">
        <v>40579</v>
      </c>
      <c r="C791">
        <v>1</v>
      </c>
      <c r="D791">
        <v>0</v>
      </c>
      <c r="E791">
        <v>2</v>
      </c>
      <c r="F791">
        <v>17</v>
      </c>
      <c r="G791" t="b">
        <v>0</v>
      </c>
      <c r="H791">
        <v>6</v>
      </c>
      <c r="I791">
        <v>2</v>
      </c>
      <c r="J791">
        <v>0.24</v>
      </c>
      <c r="K791">
        <v>0.21210000000000001</v>
      </c>
      <c r="L791">
        <v>1</v>
      </c>
      <c r="M791">
        <v>0.28360000000000002</v>
      </c>
      <c r="N791">
        <v>14</v>
      </c>
      <c r="O791">
        <v>64</v>
      </c>
      <c r="P791">
        <v>78</v>
      </c>
      <c r="Q791" t="str">
        <f>VLOOKUP(MasterData[[#This Row],[season]],[1]Lookup!$A$2:$B$5,2,FALSE)</f>
        <v>Spring</v>
      </c>
      <c r="R791" t="str">
        <f>TEXT(DATE(2026,E791,1),"mmmm")</f>
        <v>February</v>
      </c>
      <c r="S791" t="str">
        <f>IF(OR(H791=0,H791=6),"Weekend","Weekday")</f>
        <v>Weekend</v>
      </c>
      <c r="T791" s="1" t="str">
        <f>VLOOKUP(I791,[1]Lookup!$D$2:$E$5,2,FALSE)</f>
        <v>Mist / Cloudy</v>
      </c>
      <c r="U791" s="1" t="str">
        <f>IF(F791&lt;6,"Night",
IF(F791&lt;12,"Morning",
IF(F791&lt;17,"Afternoon",
IF(F791&lt;21,"Evening","Night"))))</f>
        <v>Evening</v>
      </c>
      <c r="V791" s="1" t="str">
        <f>IF(J791&lt;0.3,"Cold",
IF(J791&lt;0.6,"Pleasant","Hot"))</f>
        <v>Cold</v>
      </c>
      <c r="W791" s="1" t="str">
        <f>IF(L791&lt;0.4,"Low",
IF(L791&lt;0.7,"Medium","High"))</f>
        <v>High</v>
      </c>
      <c r="X791" s="1" t="str">
        <f>IF(M791&lt;0.2,"Low",
IF(M791&lt;0.4,"Medium","High"))</f>
        <v>Medium</v>
      </c>
      <c r="Y791" s="1" t="str">
        <f>IF(P791&lt;100,"Low",
IF(P791&lt;300,"Medium","High"))</f>
        <v>Low</v>
      </c>
    </row>
    <row r="792" spans="1:25" x14ac:dyDescent="0.3">
      <c r="A792">
        <v>800</v>
      </c>
      <c r="B792" s="2">
        <v>40579</v>
      </c>
      <c r="C792">
        <v>1</v>
      </c>
      <c r="D792">
        <v>0</v>
      </c>
      <c r="E792">
        <v>2</v>
      </c>
      <c r="F792">
        <v>18</v>
      </c>
      <c r="G792" t="b">
        <v>0</v>
      </c>
      <c r="H792">
        <v>6</v>
      </c>
      <c r="I792">
        <v>2</v>
      </c>
      <c r="J792">
        <v>0.28000000000000003</v>
      </c>
      <c r="K792">
        <v>0.2424</v>
      </c>
      <c r="L792">
        <v>0.93</v>
      </c>
      <c r="M792">
        <v>0.44779999999999998</v>
      </c>
      <c r="N792">
        <v>2</v>
      </c>
      <c r="O792">
        <v>81</v>
      </c>
      <c r="P792">
        <v>83</v>
      </c>
      <c r="Q792" t="str">
        <f>VLOOKUP(MasterData[[#This Row],[season]],[1]Lookup!$A$2:$B$5,2,FALSE)</f>
        <v>Spring</v>
      </c>
      <c r="R792" t="str">
        <f>TEXT(DATE(2026,E792,1),"mmmm")</f>
        <v>February</v>
      </c>
      <c r="S792" t="str">
        <f>IF(OR(H792=0,H792=6),"Weekend","Weekday")</f>
        <v>Weekend</v>
      </c>
      <c r="T792" s="1" t="str">
        <f>VLOOKUP(I792,[1]Lookup!$D$2:$E$5,2,FALSE)</f>
        <v>Mist / Cloudy</v>
      </c>
      <c r="U792" s="1" t="str">
        <f>IF(F792&lt;6,"Night",
IF(F792&lt;12,"Morning",
IF(F792&lt;17,"Afternoon",
IF(F792&lt;21,"Evening","Night"))))</f>
        <v>Evening</v>
      </c>
      <c r="V792" s="1" t="str">
        <f>IF(J792&lt;0.3,"Cold",
IF(J792&lt;0.6,"Pleasant","Hot"))</f>
        <v>Cold</v>
      </c>
      <c r="W792" s="1" t="str">
        <f>IF(L792&lt;0.4,"Low",
IF(L792&lt;0.7,"Medium","High"))</f>
        <v>High</v>
      </c>
      <c r="X792" s="1" t="str">
        <f>IF(M792&lt;0.2,"Low",
IF(M792&lt;0.4,"Medium","High"))</f>
        <v>High</v>
      </c>
      <c r="Y792" s="1" t="str">
        <f>IF(P792&lt;100,"Low",
IF(P792&lt;300,"Medium","High"))</f>
        <v>Low</v>
      </c>
    </row>
    <row r="793" spans="1:25" x14ac:dyDescent="0.3">
      <c r="A793">
        <v>801</v>
      </c>
      <c r="B793" s="2">
        <v>40579</v>
      </c>
      <c r="C793">
        <v>1</v>
      </c>
      <c r="D793">
        <v>0</v>
      </c>
      <c r="E793">
        <v>2</v>
      </c>
      <c r="F793">
        <v>19</v>
      </c>
      <c r="G793" t="b">
        <v>0</v>
      </c>
      <c r="H793">
        <v>6</v>
      </c>
      <c r="I793">
        <v>2</v>
      </c>
      <c r="J793">
        <v>0.28000000000000003</v>
      </c>
      <c r="K793">
        <v>0.2424</v>
      </c>
      <c r="L793">
        <v>0.93</v>
      </c>
      <c r="M793">
        <v>0.44779999999999998</v>
      </c>
      <c r="N793">
        <v>6</v>
      </c>
      <c r="O793">
        <v>78</v>
      </c>
      <c r="P793">
        <v>84</v>
      </c>
      <c r="Q793" t="str">
        <f>VLOOKUP(MasterData[[#This Row],[season]],[1]Lookup!$A$2:$B$5,2,FALSE)</f>
        <v>Spring</v>
      </c>
      <c r="R793" t="str">
        <f>TEXT(DATE(2026,E793,1),"mmmm")</f>
        <v>February</v>
      </c>
      <c r="S793" t="str">
        <f>IF(OR(H793=0,H793=6),"Weekend","Weekday")</f>
        <v>Weekend</v>
      </c>
      <c r="T793" s="1" t="str">
        <f>VLOOKUP(I793,[1]Lookup!$D$2:$E$5,2,FALSE)</f>
        <v>Mist / Cloudy</v>
      </c>
      <c r="U793" s="1" t="str">
        <f>IF(F793&lt;6,"Night",
IF(F793&lt;12,"Morning",
IF(F793&lt;17,"Afternoon",
IF(F793&lt;21,"Evening","Night"))))</f>
        <v>Evening</v>
      </c>
      <c r="V793" s="1" t="str">
        <f>IF(J793&lt;0.3,"Cold",
IF(J793&lt;0.6,"Pleasant","Hot"))</f>
        <v>Cold</v>
      </c>
      <c r="W793" s="1" t="str">
        <f>IF(L793&lt;0.4,"Low",
IF(L793&lt;0.7,"Medium","High"))</f>
        <v>High</v>
      </c>
      <c r="X793" s="1" t="str">
        <f>IF(M793&lt;0.2,"Low",
IF(M793&lt;0.4,"Medium","High"))</f>
        <v>High</v>
      </c>
      <c r="Y793" s="1" t="str">
        <f>IF(P793&lt;100,"Low",
IF(P793&lt;300,"Medium","High"))</f>
        <v>Low</v>
      </c>
    </row>
    <row r="794" spans="1:25" x14ac:dyDescent="0.3">
      <c r="A794">
        <v>802</v>
      </c>
      <c r="B794" s="2">
        <v>40579</v>
      </c>
      <c r="C794">
        <v>1</v>
      </c>
      <c r="D794">
        <v>0</v>
      </c>
      <c r="E794">
        <v>2</v>
      </c>
      <c r="F794">
        <v>20</v>
      </c>
      <c r="G794" t="b">
        <v>0</v>
      </c>
      <c r="H794">
        <v>6</v>
      </c>
      <c r="I794">
        <v>1</v>
      </c>
      <c r="J794">
        <v>0.3</v>
      </c>
      <c r="K794">
        <v>0.28789999999999999</v>
      </c>
      <c r="L794">
        <v>0.87</v>
      </c>
      <c r="M794">
        <v>0.25369999999999998</v>
      </c>
      <c r="N794">
        <v>5</v>
      </c>
      <c r="O794">
        <v>64</v>
      </c>
      <c r="P794">
        <v>69</v>
      </c>
      <c r="Q794" t="str">
        <f>VLOOKUP(MasterData[[#This Row],[season]],[1]Lookup!$A$2:$B$5,2,FALSE)</f>
        <v>Spring</v>
      </c>
      <c r="R794" t="str">
        <f>TEXT(DATE(2026,E794,1),"mmmm")</f>
        <v>February</v>
      </c>
      <c r="S794" t="str">
        <f>IF(OR(H794=0,H794=6),"Weekend","Weekday")</f>
        <v>Weekend</v>
      </c>
      <c r="T794" s="1" t="str">
        <f>VLOOKUP(I794,[1]Lookup!$D$2:$E$5,2,FALSE)</f>
        <v>Clear</v>
      </c>
      <c r="U794" s="1" t="str">
        <f>IF(F794&lt;6,"Night",
IF(F794&lt;12,"Morning",
IF(F794&lt;17,"Afternoon",
IF(F794&lt;21,"Evening","Night"))))</f>
        <v>Evening</v>
      </c>
      <c r="V794" s="1" t="str">
        <f>IF(J794&lt;0.3,"Cold",
IF(J794&lt;0.6,"Pleasant","Hot"))</f>
        <v>Pleasant</v>
      </c>
      <c r="W794" s="1" t="str">
        <f>IF(L794&lt;0.4,"Low",
IF(L794&lt;0.7,"Medium","High"))</f>
        <v>High</v>
      </c>
      <c r="X794" s="1" t="str">
        <f>IF(M794&lt;0.2,"Low",
IF(M794&lt;0.4,"Medium","High"))</f>
        <v>Medium</v>
      </c>
      <c r="Y794" s="1" t="str">
        <f>IF(P794&lt;100,"Low",
IF(P794&lt;300,"Medium","High"))</f>
        <v>Low</v>
      </c>
    </row>
    <row r="795" spans="1:25" x14ac:dyDescent="0.3">
      <c r="A795">
        <v>803</v>
      </c>
      <c r="B795" s="2">
        <v>40579</v>
      </c>
      <c r="C795">
        <v>1</v>
      </c>
      <c r="D795">
        <v>0</v>
      </c>
      <c r="E795">
        <v>2</v>
      </c>
      <c r="F795">
        <v>21</v>
      </c>
      <c r="G795" t="b">
        <v>0</v>
      </c>
      <c r="H795">
        <v>6</v>
      </c>
      <c r="I795">
        <v>1</v>
      </c>
      <c r="J795">
        <v>0.26</v>
      </c>
      <c r="K795">
        <v>0.2576</v>
      </c>
      <c r="L795">
        <v>1</v>
      </c>
      <c r="M795">
        <v>0.19400000000000001</v>
      </c>
      <c r="N795">
        <v>3</v>
      </c>
      <c r="O795">
        <v>53</v>
      </c>
      <c r="P795">
        <v>56</v>
      </c>
      <c r="Q795" t="str">
        <f>VLOOKUP(MasterData[[#This Row],[season]],[1]Lookup!$A$2:$B$5,2,FALSE)</f>
        <v>Spring</v>
      </c>
      <c r="R795" t="str">
        <f>TEXT(DATE(2026,E795,1),"mmmm")</f>
        <v>February</v>
      </c>
      <c r="S795" t="str">
        <f>IF(OR(H795=0,H795=6),"Weekend","Weekday")</f>
        <v>Weekend</v>
      </c>
      <c r="T795" s="1" t="str">
        <f>VLOOKUP(I795,[1]Lookup!$D$2:$E$5,2,FALSE)</f>
        <v>Clear</v>
      </c>
      <c r="U795" s="1" t="str">
        <f>IF(F795&lt;6,"Night",
IF(F795&lt;12,"Morning",
IF(F795&lt;17,"Afternoon",
IF(F795&lt;21,"Evening","Night"))))</f>
        <v>Night</v>
      </c>
      <c r="V795" s="1" t="str">
        <f>IF(J795&lt;0.3,"Cold",
IF(J795&lt;0.6,"Pleasant","Hot"))</f>
        <v>Cold</v>
      </c>
      <c r="W795" s="1" t="str">
        <f>IF(L795&lt;0.4,"Low",
IF(L795&lt;0.7,"Medium","High"))</f>
        <v>High</v>
      </c>
      <c r="X795" s="1" t="str">
        <f>IF(M795&lt;0.2,"Low",
IF(M795&lt;0.4,"Medium","High"))</f>
        <v>Low</v>
      </c>
      <c r="Y795" s="1" t="str">
        <f>IF(P795&lt;100,"Low",
IF(P795&lt;300,"Medium","High"))</f>
        <v>Low</v>
      </c>
    </row>
    <row r="796" spans="1:25" x14ac:dyDescent="0.3">
      <c r="A796">
        <v>804</v>
      </c>
      <c r="B796" s="2">
        <v>40579</v>
      </c>
      <c r="C796">
        <v>1</v>
      </c>
      <c r="D796">
        <v>0</v>
      </c>
      <c r="E796">
        <v>2</v>
      </c>
      <c r="F796">
        <v>22</v>
      </c>
      <c r="G796" t="b">
        <v>0</v>
      </c>
      <c r="H796">
        <v>6</v>
      </c>
      <c r="I796">
        <v>1</v>
      </c>
      <c r="J796">
        <v>0.26</v>
      </c>
      <c r="K796">
        <v>0.2727</v>
      </c>
      <c r="L796">
        <v>0.93</v>
      </c>
      <c r="M796">
        <v>0.1343</v>
      </c>
      <c r="N796">
        <v>2</v>
      </c>
      <c r="O796">
        <v>43</v>
      </c>
      <c r="P796">
        <v>45</v>
      </c>
      <c r="Q796" t="str">
        <f>VLOOKUP(MasterData[[#This Row],[season]],[1]Lookup!$A$2:$B$5,2,FALSE)</f>
        <v>Spring</v>
      </c>
      <c r="R796" t="str">
        <f>TEXT(DATE(2026,E796,1),"mmmm")</f>
        <v>February</v>
      </c>
      <c r="S796" t="str">
        <f>IF(OR(H796=0,H796=6),"Weekend","Weekday")</f>
        <v>Weekend</v>
      </c>
      <c r="T796" s="1" t="str">
        <f>VLOOKUP(I796,[1]Lookup!$D$2:$E$5,2,FALSE)</f>
        <v>Clear</v>
      </c>
      <c r="U796" s="1" t="str">
        <f>IF(F796&lt;6,"Night",
IF(F796&lt;12,"Morning",
IF(F796&lt;17,"Afternoon",
IF(F796&lt;21,"Evening","Night"))))</f>
        <v>Night</v>
      </c>
      <c r="V796" s="1" t="str">
        <f>IF(J796&lt;0.3,"Cold",
IF(J796&lt;0.6,"Pleasant","Hot"))</f>
        <v>Cold</v>
      </c>
      <c r="W796" s="1" t="str">
        <f>IF(L796&lt;0.4,"Low",
IF(L796&lt;0.7,"Medium","High"))</f>
        <v>High</v>
      </c>
      <c r="X796" s="1" t="str">
        <f>IF(M796&lt;0.2,"Low",
IF(M796&lt;0.4,"Medium","High"))</f>
        <v>Low</v>
      </c>
      <c r="Y796" s="1" t="str">
        <f>IF(P796&lt;100,"Low",
IF(P796&lt;300,"Medium","High"))</f>
        <v>Low</v>
      </c>
    </row>
    <row r="797" spans="1:25" x14ac:dyDescent="0.3">
      <c r="A797">
        <v>805</v>
      </c>
      <c r="B797" s="2">
        <v>40579</v>
      </c>
      <c r="C797">
        <v>1</v>
      </c>
      <c r="D797">
        <v>0</v>
      </c>
      <c r="E797">
        <v>2</v>
      </c>
      <c r="F797">
        <v>23</v>
      </c>
      <c r="G797" t="b">
        <v>0</v>
      </c>
      <c r="H797">
        <v>6</v>
      </c>
      <c r="I797">
        <v>1</v>
      </c>
      <c r="J797">
        <v>0.26</v>
      </c>
      <c r="K797">
        <v>0.2576</v>
      </c>
      <c r="L797">
        <v>0.93</v>
      </c>
      <c r="M797">
        <v>0.22389999999999999</v>
      </c>
      <c r="N797">
        <v>7</v>
      </c>
      <c r="O797">
        <v>52</v>
      </c>
      <c r="P797">
        <v>59</v>
      </c>
      <c r="Q797" t="str">
        <f>VLOOKUP(MasterData[[#This Row],[season]],[1]Lookup!$A$2:$B$5,2,FALSE)</f>
        <v>Spring</v>
      </c>
      <c r="R797" t="str">
        <f>TEXT(DATE(2026,E797,1),"mmmm")</f>
        <v>February</v>
      </c>
      <c r="S797" t="str">
        <f>IF(OR(H797=0,H797=6),"Weekend","Weekday")</f>
        <v>Weekend</v>
      </c>
      <c r="T797" s="1" t="str">
        <f>VLOOKUP(I797,[1]Lookup!$D$2:$E$5,2,FALSE)</f>
        <v>Clear</v>
      </c>
      <c r="U797" s="1" t="str">
        <f>IF(F797&lt;6,"Night",
IF(F797&lt;12,"Morning",
IF(F797&lt;17,"Afternoon",
IF(F797&lt;21,"Evening","Night"))))</f>
        <v>Night</v>
      </c>
      <c r="V797" s="1" t="str">
        <f>IF(J797&lt;0.3,"Cold",
IF(J797&lt;0.6,"Pleasant","Hot"))</f>
        <v>Cold</v>
      </c>
      <c r="W797" s="1" t="str">
        <f>IF(L797&lt;0.4,"Low",
IF(L797&lt;0.7,"Medium","High"))</f>
        <v>High</v>
      </c>
      <c r="X797" s="1" t="str">
        <f>IF(M797&lt;0.2,"Low",
IF(M797&lt;0.4,"Medium","High"))</f>
        <v>Medium</v>
      </c>
      <c r="Y797" s="1" t="str">
        <f>IF(P797&lt;100,"Low",
IF(P797&lt;300,"Medium","High"))</f>
        <v>Low</v>
      </c>
    </row>
    <row r="798" spans="1:25" x14ac:dyDescent="0.3">
      <c r="A798">
        <v>806</v>
      </c>
      <c r="B798" s="2">
        <v>40580</v>
      </c>
      <c r="C798">
        <v>1</v>
      </c>
      <c r="D798">
        <v>0</v>
      </c>
      <c r="E798">
        <v>2</v>
      </c>
      <c r="F798">
        <v>0</v>
      </c>
      <c r="G798" t="b">
        <v>0</v>
      </c>
      <c r="H798">
        <v>0</v>
      </c>
      <c r="I798">
        <v>1</v>
      </c>
      <c r="J798">
        <v>0.26</v>
      </c>
      <c r="K798">
        <v>0.2576</v>
      </c>
      <c r="L798">
        <v>0.7</v>
      </c>
      <c r="M798">
        <v>0.19400000000000001</v>
      </c>
      <c r="N798">
        <v>2</v>
      </c>
      <c r="O798">
        <v>37</v>
      </c>
      <c r="P798">
        <v>39</v>
      </c>
      <c r="Q798" t="str">
        <f>VLOOKUP(MasterData[[#This Row],[season]],[1]Lookup!$A$2:$B$5,2,FALSE)</f>
        <v>Spring</v>
      </c>
      <c r="R798" t="str">
        <f>TEXT(DATE(2026,E798,1),"mmmm")</f>
        <v>February</v>
      </c>
      <c r="S798" t="str">
        <f>IF(OR(H798=0,H798=6),"Weekend","Weekday")</f>
        <v>Weekend</v>
      </c>
      <c r="T798" s="1" t="str">
        <f>VLOOKUP(I798,[1]Lookup!$D$2:$E$5,2,FALSE)</f>
        <v>Clear</v>
      </c>
      <c r="U798" s="1" t="str">
        <f>IF(F798&lt;6,"Night",
IF(F798&lt;12,"Morning",
IF(F798&lt;17,"Afternoon",
IF(F798&lt;21,"Evening","Night"))))</f>
        <v>Night</v>
      </c>
      <c r="V798" s="1" t="str">
        <f>IF(J798&lt;0.3,"Cold",
IF(J798&lt;0.6,"Pleasant","Hot"))</f>
        <v>Cold</v>
      </c>
      <c r="W798" s="1" t="str">
        <f>IF(L798&lt;0.4,"Low",
IF(L798&lt;0.7,"Medium","High"))</f>
        <v>High</v>
      </c>
      <c r="X798" s="1" t="str">
        <f>IF(M798&lt;0.2,"Low",
IF(M798&lt;0.4,"Medium","High"))</f>
        <v>Low</v>
      </c>
      <c r="Y798" s="1" t="str">
        <f>IF(P798&lt;100,"Low",
IF(P798&lt;300,"Medium","High"))</f>
        <v>Low</v>
      </c>
    </row>
    <row r="799" spans="1:25" x14ac:dyDescent="0.3">
      <c r="A799">
        <v>807</v>
      </c>
      <c r="B799" s="2">
        <v>40580</v>
      </c>
      <c r="C799">
        <v>1</v>
      </c>
      <c r="D799">
        <v>0</v>
      </c>
      <c r="E799">
        <v>2</v>
      </c>
      <c r="F799">
        <v>1</v>
      </c>
      <c r="G799" t="b">
        <v>0</v>
      </c>
      <c r="H799">
        <v>0</v>
      </c>
      <c r="I799">
        <v>1</v>
      </c>
      <c r="J799">
        <v>0.26</v>
      </c>
      <c r="K799">
        <v>0.2273</v>
      </c>
      <c r="L799">
        <v>0.65</v>
      </c>
      <c r="M799">
        <v>0.41789999999999999</v>
      </c>
      <c r="N799">
        <v>4</v>
      </c>
      <c r="O799">
        <v>40</v>
      </c>
      <c r="P799">
        <v>44</v>
      </c>
      <c r="Q799" t="str">
        <f>VLOOKUP(MasterData[[#This Row],[season]],[1]Lookup!$A$2:$B$5,2,FALSE)</f>
        <v>Spring</v>
      </c>
      <c r="R799" t="str">
        <f>TEXT(DATE(2026,E799,1),"mmmm")</f>
        <v>February</v>
      </c>
      <c r="S799" t="str">
        <f>IF(OR(H799=0,H799=6),"Weekend","Weekday")</f>
        <v>Weekend</v>
      </c>
      <c r="T799" s="1" t="str">
        <f>VLOOKUP(I799,[1]Lookup!$D$2:$E$5,2,FALSE)</f>
        <v>Clear</v>
      </c>
      <c r="U799" s="1" t="str">
        <f>IF(F799&lt;6,"Night",
IF(F799&lt;12,"Morning",
IF(F799&lt;17,"Afternoon",
IF(F799&lt;21,"Evening","Night"))))</f>
        <v>Night</v>
      </c>
      <c r="V799" s="1" t="str">
        <f>IF(J799&lt;0.3,"Cold",
IF(J799&lt;0.6,"Pleasant","Hot"))</f>
        <v>Cold</v>
      </c>
      <c r="W799" s="1" t="str">
        <f>IF(L799&lt;0.4,"Low",
IF(L799&lt;0.7,"Medium","High"))</f>
        <v>Medium</v>
      </c>
      <c r="X799" s="1" t="str">
        <f>IF(M799&lt;0.2,"Low",
IF(M799&lt;0.4,"Medium","High"))</f>
        <v>High</v>
      </c>
      <c r="Y799" s="1" t="str">
        <f>IF(P799&lt;100,"Low",
IF(P799&lt;300,"Medium","High"))</f>
        <v>Low</v>
      </c>
    </row>
    <row r="800" spans="1:25" x14ac:dyDescent="0.3">
      <c r="A800">
        <v>808</v>
      </c>
      <c r="B800" s="2">
        <v>40580</v>
      </c>
      <c r="C800">
        <v>1</v>
      </c>
      <c r="D800">
        <v>0</v>
      </c>
      <c r="E800">
        <v>2</v>
      </c>
      <c r="F800">
        <v>2</v>
      </c>
      <c r="G800" t="b">
        <v>0</v>
      </c>
      <c r="H800">
        <v>0</v>
      </c>
      <c r="I800">
        <v>1</v>
      </c>
      <c r="J800">
        <v>0.26</v>
      </c>
      <c r="K800">
        <v>0.2273</v>
      </c>
      <c r="L800">
        <v>0.6</v>
      </c>
      <c r="M800">
        <v>0.32840000000000003</v>
      </c>
      <c r="N800">
        <v>0</v>
      </c>
      <c r="O800">
        <v>20</v>
      </c>
      <c r="P800">
        <v>20</v>
      </c>
      <c r="Q800" t="str">
        <f>VLOOKUP(MasterData[[#This Row],[season]],[1]Lookup!$A$2:$B$5,2,FALSE)</f>
        <v>Spring</v>
      </c>
      <c r="R800" t="str">
        <f>TEXT(DATE(2026,E800,1),"mmmm")</f>
        <v>February</v>
      </c>
      <c r="S800" t="str">
        <f>IF(OR(H800=0,H800=6),"Weekend","Weekday")</f>
        <v>Weekend</v>
      </c>
      <c r="T800" s="1" t="str">
        <f>VLOOKUP(I800,[1]Lookup!$D$2:$E$5,2,FALSE)</f>
        <v>Clear</v>
      </c>
      <c r="U800" s="1" t="str">
        <f>IF(F800&lt;6,"Night",
IF(F800&lt;12,"Morning",
IF(F800&lt;17,"Afternoon",
IF(F800&lt;21,"Evening","Night"))))</f>
        <v>Night</v>
      </c>
      <c r="V800" s="1" t="str">
        <f>IF(J800&lt;0.3,"Cold",
IF(J800&lt;0.6,"Pleasant","Hot"))</f>
        <v>Cold</v>
      </c>
      <c r="W800" s="1" t="str">
        <f>IF(L800&lt;0.4,"Low",
IF(L800&lt;0.7,"Medium","High"))</f>
        <v>Medium</v>
      </c>
      <c r="X800" s="1" t="str">
        <f>IF(M800&lt;0.2,"Low",
IF(M800&lt;0.4,"Medium","High"))</f>
        <v>Medium</v>
      </c>
      <c r="Y800" s="1" t="str">
        <f>IF(P800&lt;100,"Low",
IF(P800&lt;300,"Medium","High"))</f>
        <v>Low</v>
      </c>
    </row>
    <row r="801" spans="1:25" x14ac:dyDescent="0.3">
      <c r="A801">
        <v>809</v>
      </c>
      <c r="B801" s="2">
        <v>40580</v>
      </c>
      <c r="C801">
        <v>1</v>
      </c>
      <c r="D801">
        <v>0</v>
      </c>
      <c r="E801">
        <v>2</v>
      </c>
      <c r="F801">
        <v>3</v>
      </c>
      <c r="G801" t="b">
        <v>0</v>
      </c>
      <c r="H801">
        <v>0</v>
      </c>
      <c r="I801">
        <v>1</v>
      </c>
      <c r="J801">
        <v>0.26</v>
      </c>
      <c r="K801">
        <v>0.28789999999999999</v>
      </c>
      <c r="L801">
        <v>0.6</v>
      </c>
      <c r="M801">
        <v>8.9599999999999999E-2</v>
      </c>
      <c r="N801">
        <v>3</v>
      </c>
      <c r="O801">
        <v>10</v>
      </c>
      <c r="P801">
        <v>13</v>
      </c>
      <c r="Q801" t="str">
        <f>VLOOKUP(MasterData[[#This Row],[season]],[1]Lookup!$A$2:$B$5,2,FALSE)</f>
        <v>Spring</v>
      </c>
      <c r="R801" t="str">
        <f>TEXT(DATE(2026,E801,1),"mmmm")</f>
        <v>February</v>
      </c>
      <c r="S801" t="str">
        <f>IF(OR(H801=0,H801=6),"Weekend","Weekday")</f>
        <v>Weekend</v>
      </c>
      <c r="T801" s="1" t="str">
        <f>VLOOKUP(I801,[1]Lookup!$D$2:$E$5,2,FALSE)</f>
        <v>Clear</v>
      </c>
      <c r="U801" s="1" t="str">
        <f>IF(F801&lt;6,"Night",
IF(F801&lt;12,"Morning",
IF(F801&lt;17,"Afternoon",
IF(F801&lt;21,"Evening","Night"))))</f>
        <v>Night</v>
      </c>
      <c r="V801" s="1" t="str">
        <f>IF(J801&lt;0.3,"Cold",
IF(J801&lt;0.6,"Pleasant","Hot"))</f>
        <v>Cold</v>
      </c>
      <c r="W801" s="1" t="str">
        <f>IF(L801&lt;0.4,"Low",
IF(L801&lt;0.7,"Medium","High"))</f>
        <v>Medium</v>
      </c>
      <c r="X801" s="1" t="str">
        <f>IF(M801&lt;0.2,"Low",
IF(M801&lt;0.4,"Medium","High"))</f>
        <v>Low</v>
      </c>
      <c r="Y801" s="1" t="str">
        <f>IF(P801&lt;100,"Low",
IF(P801&lt;300,"Medium","High"))</f>
        <v>Low</v>
      </c>
    </row>
    <row r="802" spans="1:25" x14ac:dyDescent="0.3">
      <c r="A802">
        <v>810</v>
      </c>
      <c r="B802" s="2">
        <v>40580</v>
      </c>
      <c r="C802">
        <v>1</v>
      </c>
      <c r="D802">
        <v>0</v>
      </c>
      <c r="E802">
        <v>2</v>
      </c>
      <c r="F802">
        <v>4</v>
      </c>
      <c r="G802" t="b">
        <v>0</v>
      </c>
      <c r="H802">
        <v>0</v>
      </c>
      <c r="I802">
        <v>1</v>
      </c>
      <c r="J802">
        <v>0.26</v>
      </c>
      <c r="K802">
        <v>0.2273</v>
      </c>
      <c r="L802">
        <v>0.6</v>
      </c>
      <c r="M802">
        <v>0.35820000000000002</v>
      </c>
      <c r="N802">
        <v>0</v>
      </c>
      <c r="O802">
        <v>2</v>
      </c>
      <c r="P802">
        <v>2</v>
      </c>
      <c r="Q802" t="str">
        <f>VLOOKUP(MasterData[[#This Row],[season]],[1]Lookup!$A$2:$B$5,2,FALSE)</f>
        <v>Spring</v>
      </c>
      <c r="R802" t="str">
        <f>TEXT(DATE(2026,E802,1),"mmmm")</f>
        <v>February</v>
      </c>
      <c r="S802" t="str">
        <f>IF(OR(H802=0,H802=6),"Weekend","Weekday")</f>
        <v>Weekend</v>
      </c>
      <c r="T802" s="1" t="str">
        <f>VLOOKUP(I802,[1]Lookup!$D$2:$E$5,2,FALSE)</f>
        <v>Clear</v>
      </c>
      <c r="U802" s="1" t="str">
        <f>IF(F802&lt;6,"Night",
IF(F802&lt;12,"Morning",
IF(F802&lt;17,"Afternoon",
IF(F802&lt;21,"Evening","Night"))))</f>
        <v>Night</v>
      </c>
      <c r="V802" s="1" t="str">
        <f>IF(J802&lt;0.3,"Cold",
IF(J802&lt;0.6,"Pleasant","Hot"))</f>
        <v>Cold</v>
      </c>
      <c r="W802" s="1" t="str">
        <f>IF(L802&lt;0.4,"Low",
IF(L802&lt;0.7,"Medium","High"))</f>
        <v>Medium</v>
      </c>
      <c r="X802" s="1" t="str">
        <f>IF(M802&lt;0.2,"Low",
IF(M802&lt;0.4,"Medium","High"))</f>
        <v>Medium</v>
      </c>
      <c r="Y802" s="1" t="str">
        <f>IF(P802&lt;100,"Low",
IF(P802&lt;300,"Medium","High"))</f>
        <v>Low</v>
      </c>
    </row>
    <row r="803" spans="1:25" x14ac:dyDescent="0.3">
      <c r="A803">
        <v>811</v>
      </c>
      <c r="B803" s="2">
        <v>40580</v>
      </c>
      <c r="C803">
        <v>1</v>
      </c>
      <c r="D803">
        <v>0</v>
      </c>
      <c r="E803">
        <v>2</v>
      </c>
      <c r="F803">
        <v>5</v>
      </c>
      <c r="G803" t="b">
        <v>0</v>
      </c>
      <c r="H803">
        <v>0</v>
      </c>
      <c r="I803">
        <v>1</v>
      </c>
      <c r="J803">
        <v>0.26</v>
      </c>
      <c r="K803">
        <v>0.2576</v>
      </c>
      <c r="L803">
        <v>0.6</v>
      </c>
      <c r="M803">
        <v>0.22389999999999999</v>
      </c>
      <c r="N803">
        <v>0</v>
      </c>
      <c r="O803">
        <v>1</v>
      </c>
      <c r="P803">
        <v>1</v>
      </c>
      <c r="Q803" t="str">
        <f>VLOOKUP(MasterData[[#This Row],[season]],[1]Lookup!$A$2:$B$5,2,FALSE)</f>
        <v>Spring</v>
      </c>
      <c r="R803" t="str">
        <f>TEXT(DATE(2026,E803,1),"mmmm")</f>
        <v>February</v>
      </c>
      <c r="S803" t="str">
        <f>IF(OR(H803=0,H803=6),"Weekend","Weekday")</f>
        <v>Weekend</v>
      </c>
      <c r="T803" s="1" t="str">
        <f>VLOOKUP(I803,[1]Lookup!$D$2:$E$5,2,FALSE)</f>
        <v>Clear</v>
      </c>
      <c r="U803" s="1" t="str">
        <f>IF(F803&lt;6,"Night",
IF(F803&lt;12,"Morning",
IF(F803&lt;17,"Afternoon",
IF(F803&lt;21,"Evening","Night"))))</f>
        <v>Night</v>
      </c>
      <c r="V803" s="1" t="str">
        <f>IF(J803&lt;0.3,"Cold",
IF(J803&lt;0.6,"Pleasant","Hot"))</f>
        <v>Cold</v>
      </c>
      <c r="W803" s="1" t="str">
        <f>IF(L803&lt;0.4,"Low",
IF(L803&lt;0.7,"Medium","High"))</f>
        <v>Medium</v>
      </c>
      <c r="X803" s="1" t="str">
        <f>IF(M803&lt;0.2,"Low",
IF(M803&lt;0.4,"Medium","High"))</f>
        <v>Medium</v>
      </c>
      <c r="Y803" s="1" t="str">
        <f>IF(P803&lt;100,"Low",
IF(P803&lt;300,"Medium","High"))</f>
        <v>Low</v>
      </c>
    </row>
    <row r="804" spans="1:25" x14ac:dyDescent="0.3">
      <c r="A804">
        <v>812</v>
      </c>
      <c r="B804" s="2">
        <v>40580</v>
      </c>
      <c r="C804">
        <v>1</v>
      </c>
      <c r="D804">
        <v>0</v>
      </c>
      <c r="E804">
        <v>2</v>
      </c>
      <c r="F804">
        <v>6</v>
      </c>
      <c r="G804" t="b">
        <v>0</v>
      </c>
      <c r="H804">
        <v>0</v>
      </c>
      <c r="I804">
        <v>1</v>
      </c>
      <c r="J804">
        <v>0.26</v>
      </c>
      <c r="K804">
        <v>0.2576</v>
      </c>
      <c r="L804">
        <v>0.6</v>
      </c>
      <c r="M804">
        <v>0.22389999999999999</v>
      </c>
      <c r="N804">
        <v>0</v>
      </c>
      <c r="O804">
        <v>1</v>
      </c>
      <c r="P804">
        <v>1</v>
      </c>
      <c r="Q804" t="str">
        <f>VLOOKUP(MasterData[[#This Row],[season]],[1]Lookup!$A$2:$B$5,2,FALSE)</f>
        <v>Spring</v>
      </c>
      <c r="R804" t="str">
        <f>TEXT(DATE(2026,E804,1),"mmmm")</f>
        <v>February</v>
      </c>
      <c r="S804" t="str">
        <f>IF(OR(H804=0,H804=6),"Weekend","Weekday")</f>
        <v>Weekend</v>
      </c>
      <c r="T804" s="1" t="str">
        <f>VLOOKUP(I804,[1]Lookup!$D$2:$E$5,2,FALSE)</f>
        <v>Clear</v>
      </c>
      <c r="U804" s="1" t="str">
        <f>IF(F804&lt;6,"Night",
IF(F804&lt;12,"Morning",
IF(F804&lt;17,"Afternoon",
IF(F804&lt;21,"Evening","Night"))))</f>
        <v>Morning</v>
      </c>
      <c r="V804" s="1" t="str">
        <f>IF(J804&lt;0.3,"Cold",
IF(J804&lt;0.6,"Pleasant","Hot"))</f>
        <v>Cold</v>
      </c>
      <c r="W804" s="1" t="str">
        <f>IF(L804&lt;0.4,"Low",
IF(L804&lt;0.7,"Medium","High"))</f>
        <v>Medium</v>
      </c>
      <c r="X804" s="1" t="str">
        <f>IF(M804&lt;0.2,"Low",
IF(M804&lt;0.4,"Medium","High"))</f>
        <v>Medium</v>
      </c>
      <c r="Y804" s="1" t="str">
        <f>IF(P804&lt;100,"Low",
IF(P804&lt;300,"Medium","High"))</f>
        <v>Low</v>
      </c>
    </row>
    <row r="805" spans="1:25" x14ac:dyDescent="0.3">
      <c r="A805">
        <v>813</v>
      </c>
      <c r="B805" s="2">
        <v>40580</v>
      </c>
      <c r="C805">
        <v>1</v>
      </c>
      <c r="D805">
        <v>0</v>
      </c>
      <c r="E805">
        <v>2</v>
      </c>
      <c r="F805">
        <v>7</v>
      </c>
      <c r="G805" t="b">
        <v>0</v>
      </c>
      <c r="H805">
        <v>0</v>
      </c>
      <c r="I805">
        <v>1</v>
      </c>
      <c r="J805">
        <v>0.24</v>
      </c>
      <c r="K805">
        <v>0.2424</v>
      </c>
      <c r="L805">
        <v>0.65</v>
      </c>
      <c r="M805">
        <v>0.16420000000000001</v>
      </c>
      <c r="N805">
        <v>0</v>
      </c>
      <c r="O805">
        <v>8</v>
      </c>
      <c r="P805">
        <v>8</v>
      </c>
      <c r="Q805" t="str">
        <f>VLOOKUP(MasterData[[#This Row],[season]],[1]Lookup!$A$2:$B$5,2,FALSE)</f>
        <v>Spring</v>
      </c>
      <c r="R805" t="str">
        <f>TEXT(DATE(2026,E805,1),"mmmm")</f>
        <v>February</v>
      </c>
      <c r="S805" t="str">
        <f>IF(OR(H805=0,H805=6),"Weekend","Weekday")</f>
        <v>Weekend</v>
      </c>
      <c r="T805" s="1" t="str">
        <f>VLOOKUP(I805,[1]Lookup!$D$2:$E$5,2,FALSE)</f>
        <v>Clear</v>
      </c>
      <c r="U805" s="1" t="str">
        <f>IF(F805&lt;6,"Night",
IF(F805&lt;12,"Morning",
IF(F805&lt;17,"Afternoon",
IF(F805&lt;21,"Evening","Night"))))</f>
        <v>Morning</v>
      </c>
      <c r="V805" s="1" t="str">
        <f>IF(J805&lt;0.3,"Cold",
IF(J805&lt;0.6,"Pleasant","Hot"))</f>
        <v>Cold</v>
      </c>
      <c r="W805" s="1" t="str">
        <f>IF(L805&lt;0.4,"Low",
IF(L805&lt;0.7,"Medium","High"))</f>
        <v>Medium</v>
      </c>
      <c r="X805" s="1" t="str">
        <f>IF(M805&lt;0.2,"Low",
IF(M805&lt;0.4,"Medium","High"))</f>
        <v>Low</v>
      </c>
      <c r="Y805" s="1" t="str">
        <f>IF(P805&lt;100,"Low",
IF(P805&lt;300,"Medium","High"))</f>
        <v>Low</v>
      </c>
    </row>
    <row r="806" spans="1:25" x14ac:dyDescent="0.3">
      <c r="A806">
        <v>814</v>
      </c>
      <c r="B806" s="2">
        <v>40580</v>
      </c>
      <c r="C806">
        <v>1</v>
      </c>
      <c r="D806">
        <v>0</v>
      </c>
      <c r="E806">
        <v>2</v>
      </c>
      <c r="F806">
        <v>8</v>
      </c>
      <c r="G806" t="b">
        <v>0</v>
      </c>
      <c r="H806">
        <v>0</v>
      </c>
      <c r="I806">
        <v>1</v>
      </c>
      <c r="J806">
        <v>0.24</v>
      </c>
      <c r="K806">
        <v>0.2576</v>
      </c>
      <c r="L806">
        <v>0.65</v>
      </c>
      <c r="M806">
        <v>0.1045</v>
      </c>
      <c r="N806">
        <v>2</v>
      </c>
      <c r="O806">
        <v>21</v>
      </c>
      <c r="P806">
        <v>23</v>
      </c>
      <c r="Q806" t="str">
        <f>VLOOKUP(MasterData[[#This Row],[season]],[1]Lookup!$A$2:$B$5,2,FALSE)</f>
        <v>Spring</v>
      </c>
      <c r="R806" t="str">
        <f>TEXT(DATE(2026,E806,1),"mmmm")</f>
        <v>February</v>
      </c>
      <c r="S806" t="str">
        <f>IF(OR(H806=0,H806=6),"Weekend","Weekday")</f>
        <v>Weekend</v>
      </c>
      <c r="T806" s="1" t="str">
        <f>VLOOKUP(I806,[1]Lookup!$D$2:$E$5,2,FALSE)</f>
        <v>Clear</v>
      </c>
      <c r="U806" s="1" t="str">
        <f>IF(F806&lt;6,"Night",
IF(F806&lt;12,"Morning",
IF(F806&lt;17,"Afternoon",
IF(F806&lt;21,"Evening","Night"))))</f>
        <v>Morning</v>
      </c>
      <c r="V806" s="1" t="str">
        <f>IF(J806&lt;0.3,"Cold",
IF(J806&lt;0.6,"Pleasant","Hot"))</f>
        <v>Cold</v>
      </c>
      <c r="W806" s="1" t="str">
        <f>IF(L806&lt;0.4,"Low",
IF(L806&lt;0.7,"Medium","High"))</f>
        <v>Medium</v>
      </c>
      <c r="X806" s="1" t="str">
        <f>IF(M806&lt;0.2,"Low",
IF(M806&lt;0.4,"Medium","High"))</f>
        <v>Low</v>
      </c>
      <c r="Y806" s="1" t="str">
        <f>IF(P806&lt;100,"Low",
IF(P806&lt;300,"Medium","High"))</f>
        <v>Low</v>
      </c>
    </row>
    <row r="807" spans="1:25" x14ac:dyDescent="0.3">
      <c r="A807">
        <v>815</v>
      </c>
      <c r="B807" s="2">
        <v>40580</v>
      </c>
      <c r="C807">
        <v>1</v>
      </c>
      <c r="D807">
        <v>0</v>
      </c>
      <c r="E807">
        <v>2</v>
      </c>
      <c r="F807">
        <v>9</v>
      </c>
      <c r="G807" t="b">
        <v>0</v>
      </c>
      <c r="H807">
        <v>0</v>
      </c>
      <c r="I807">
        <v>1</v>
      </c>
      <c r="J807">
        <v>0.28000000000000003</v>
      </c>
      <c r="K807">
        <v>0.28789999999999999</v>
      </c>
      <c r="L807">
        <v>0.56000000000000005</v>
      </c>
      <c r="M807">
        <v>0.1045</v>
      </c>
      <c r="N807">
        <v>7</v>
      </c>
      <c r="O807">
        <v>38</v>
      </c>
      <c r="P807">
        <v>45</v>
      </c>
      <c r="Q807" t="str">
        <f>VLOOKUP(MasterData[[#This Row],[season]],[1]Lookup!$A$2:$B$5,2,FALSE)</f>
        <v>Spring</v>
      </c>
      <c r="R807" t="str">
        <f>TEXT(DATE(2026,E807,1),"mmmm")</f>
        <v>February</v>
      </c>
      <c r="S807" t="str">
        <f>IF(OR(H807=0,H807=6),"Weekend","Weekday")</f>
        <v>Weekend</v>
      </c>
      <c r="T807" s="1" t="str">
        <f>VLOOKUP(I807,[1]Lookup!$D$2:$E$5,2,FALSE)</f>
        <v>Clear</v>
      </c>
      <c r="U807" s="1" t="str">
        <f>IF(F807&lt;6,"Night",
IF(F807&lt;12,"Morning",
IF(F807&lt;17,"Afternoon",
IF(F807&lt;21,"Evening","Night"))))</f>
        <v>Morning</v>
      </c>
      <c r="V807" s="1" t="str">
        <f>IF(J807&lt;0.3,"Cold",
IF(J807&lt;0.6,"Pleasant","Hot"))</f>
        <v>Cold</v>
      </c>
      <c r="W807" s="1" t="str">
        <f>IF(L807&lt;0.4,"Low",
IF(L807&lt;0.7,"Medium","High"))</f>
        <v>Medium</v>
      </c>
      <c r="X807" s="1" t="str">
        <f>IF(M807&lt;0.2,"Low",
IF(M807&lt;0.4,"Medium","High"))</f>
        <v>Low</v>
      </c>
      <c r="Y807" s="1" t="str">
        <f>IF(P807&lt;100,"Low",
IF(P807&lt;300,"Medium","High"))</f>
        <v>Low</v>
      </c>
    </row>
    <row r="808" spans="1:25" x14ac:dyDescent="0.3">
      <c r="A808">
        <v>816</v>
      </c>
      <c r="B808" s="2">
        <v>40580</v>
      </c>
      <c r="C808">
        <v>1</v>
      </c>
      <c r="D808">
        <v>0</v>
      </c>
      <c r="E808">
        <v>2</v>
      </c>
      <c r="F808">
        <v>10</v>
      </c>
      <c r="G808" t="b">
        <v>0</v>
      </c>
      <c r="H808">
        <v>0</v>
      </c>
      <c r="I808">
        <v>1</v>
      </c>
      <c r="J808">
        <v>0.3</v>
      </c>
      <c r="K808">
        <v>0.28789999999999999</v>
      </c>
      <c r="L808">
        <v>0.52</v>
      </c>
      <c r="M808">
        <v>0.25369999999999998</v>
      </c>
      <c r="N808">
        <v>15</v>
      </c>
      <c r="O808">
        <v>74</v>
      </c>
      <c r="P808">
        <v>89</v>
      </c>
      <c r="Q808" t="str">
        <f>VLOOKUP(MasterData[[#This Row],[season]],[1]Lookup!$A$2:$B$5,2,FALSE)</f>
        <v>Spring</v>
      </c>
      <c r="R808" t="str">
        <f>TEXT(DATE(2026,E808,1),"mmmm")</f>
        <v>February</v>
      </c>
      <c r="S808" t="str">
        <f>IF(OR(H808=0,H808=6),"Weekend","Weekday")</f>
        <v>Weekend</v>
      </c>
      <c r="T808" s="1" t="str">
        <f>VLOOKUP(I808,[1]Lookup!$D$2:$E$5,2,FALSE)</f>
        <v>Clear</v>
      </c>
      <c r="U808" s="1" t="str">
        <f>IF(F808&lt;6,"Night",
IF(F808&lt;12,"Morning",
IF(F808&lt;17,"Afternoon",
IF(F808&lt;21,"Evening","Night"))))</f>
        <v>Morning</v>
      </c>
      <c r="V808" s="1" t="str">
        <f>IF(J808&lt;0.3,"Cold",
IF(J808&lt;0.6,"Pleasant","Hot"))</f>
        <v>Pleasant</v>
      </c>
      <c r="W808" s="1" t="str">
        <f>IF(L808&lt;0.4,"Low",
IF(L808&lt;0.7,"Medium","High"))</f>
        <v>Medium</v>
      </c>
      <c r="X808" s="1" t="str">
        <f>IF(M808&lt;0.2,"Low",
IF(M808&lt;0.4,"Medium","High"))</f>
        <v>Medium</v>
      </c>
      <c r="Y808" s="1" t="str">
        <f>IF(P808&lt;100,"Low",
IF(P808&lt;300,"Medium","High"))</f>
        <v>Low</v>
      </c>
    </row>
    <row r="809" spans="1:25" x14ac:dyDescent="0.3">
      <c r="A809">
        <v>817</v>
      </c>
      <c r="B809" s="2">
        <v>40580</v>
      </c>
      <c r="C809">
        <v>1</v>
      </c>
      <c r="D809">
        <v>0</v>
      </c>
      <c r="E809">
        <v>2</v>
      </c>
      <c r="F809">
        <v>11</v>
      </c>
      <c r="G809" t="b">
        <v>0</v>
      </c>
      <c r="H809">
        <v>0</v>
      </c>
      <c r="I809">
        <v>1</v>
      </c>
      <c r="J809">
        <v>0.32</v>
      </c>
      <c r="K809">
        <v>0.30299999999999999</v>
      </c>
      <c r="L809">
        <v>0.49</v>
      </c>
      <c r="M809">
        <v>0.25369999999999998</v>
      </c>
      <c r="N809">
        <v>28</v>
      </c>
      <c r="O809">
        <v>89</v>
      </c>
      <c r="P809">
        <v>117</v>
      </c>
      <c r="Q809" t="str">
        <f>VLOOKUP(MasterData[[#This Row],[season]],[1]Lookup!$A$2:$B$5,2,FALSE)</f>
        <v>Spring</v>
      </c>
      <c r="R809" t="str">
        <f>TEXT(DATE(2026,E809,1),"mmmm")</f>
        <v>February</v>
      </c>
      <c r="S809" t="str">
        <f>IF(OR(H809=0,H809=6),"Weekend","Weekday")</f>
        <v>Weekend</v>
      </c>
      <c r="T809" s="1" t="str">
        <f>VLOOKUP(I809,[1]Lookup!$D$2:$E$5,2,FALSE)</f>
        <v>Clear</v>
      </c>
      <c r="U809" s="1" t="str">
        <f>IF(F809&lt;6,"Night",
IF(F809&lt;12,"Morning",
IF(F809&lt;17,"Afternoon",
IF(F809&lt;21,"Evening","Night"))))</f>
        <v>Morning</v>
      </c>
      <c r="V809" s="1" t="str">
        <f>IF(J809&lt;0.3,"Cold",
IF(J809&lt;0.6,"Pleasant","Hot"))</f>
        <v>Pleasant</v>
      </c>
      <c r="W809" s="1" t="str">
        <f>IF(L809&lt;0.4,"Low",
IF(L809&lt;0.7,"Medium","High"))</f>
        <v>Medium</v>
      </c>
      <c r="X809" s="1" t="str">
        <f>IF(M809&lt;0.2,"Low",
IF(M809&lt;0.4,"Medium","High"))</f>
        <v>Medium</v>
      </c>
      <c r="Y809" s="1" t="str">
        <f>IF(P809&lt;100,"Low",
IF(P809&lt;300,"Medium","High"))</f>
        <v>Medium</v>
      </c>
    </row>
    <row r="810" spans="1:25" x14ac:dyDescent="0.3">
      <c r="A810">
        <v>818</v>
      </c>
      <c r="B810" s="2">
        <v>40580</v>
      </c>
      <c r="C810">
        <v>1</v>
      </c>
      <c r="D810">
        <v>0</v>
      </c>
      <c r="E810">
        <v>2</v>
      </c>
      <c r="F810">
        <v>12</v>
      </c>
      <c r="G810" t="b">
        <v>0</v>
      </c>
      <c r="H810">
        <v>0</v>
      </c>
      <c r="I810">
        <v>1</v>
      </c>
      <c r="J810">
        <v>0.34</v>
      </c>
      <c r="K810">
        <v>0.33329999999999999</v>
      </c>
      <c r="L810">
        <v>0.46</v>
      </c>
      <c r="M810">
        <v>0</v>
      </c>
      <c r="N810">
        <v>48</v>
      </c>
      <c r="O810">
        <v>126</v>
      </c>
      <c r="P810">
        <v>174</v>
      </c>
      <c r="Q810" t="str">
        <f>VLOOKUP(MasterData[[#This Row],[season]],[1]Lookup!$A$2:$B$5,2,FALSE)</f>
        <v>Spring</v>
      </c>
      <c r="R810" t="str">
        <f>TEXT(DATE(2026,E810,1),"mmmm")</f>
        <v>February</v>
      </c>
      <c r="S810" t="str">
        <f>IF(OR(H810=0,H810=6),"Weekend","Weekday")</f>
        <v>Weekend</v>
      </c>
      <c r="T810" s="1" t="str">
        <f>VLOOKUP(I810,[1]Lookup!$D$2:$E$5,2,FALSE)</f>
        <v>Clear</v>
      </c>
      <c r="U810" s="1" t="str">
        <f>IF(F810&lt;6,"Night",
IF(F810&lt;12,"Morning",
IF(F810&lt;17,"Afternoon",
IF(F810&lt;21,"Evening","Night"))))</f>
        <v>Afternoon</v>
      </c>
      <c r="V810" s="1" t="str">
        <f>IF(J810&lt;0.3,"Cold",
IF(J810&lt;0.6,"Pleasant","Hot"))</f>
        <v>Pleasant</v>
      </c>
      <c r="W810" s="1" t="str">
        <f>IF(L810&lt;0.4,"Low",
IF(L810&lt;0.7,"Medium","High"))</f>
        <v>Medium</v>
      </c>
      <c r="X810" s="1" t="str">
        <f>IF(M810&lt;0.2,"Low",
IF(M810&lt;0.4,"Medium","High"))</f>
        <v>Low</v>
      </c>
      <c r="Y810" s="1" t="str">
        <f>IF(P810&lt;100,"Low",
IF(P810&lt;300,"Medium","High"))</f>
        <v>Medium</v>
      </c>
    </row>
    <row r="811" spans="1:25" x14ac:dyDescent="0.3">
      <c r="A811">
        <v>819</v>
      </c>
      <c r="B811" s="2">
        <v>40580</v>
      </c>
      <c r="C811">
        <v>1</v>
      </c>
      <c r="D811">
        <v>0</v>
      </c>
      <c r="E811">
        <v>2</v>
      </c>
      <c r="F811">
        <v>13</v>
      </c>
      <c r="G811" t="b">
        <v>0</v>
      </c>
      <c r="H811">
        <v>0</v>
      </c>
      <c r="I811">
        <v>1</v>
      </c>
      <c r="J811">
        <v>0.34</v>
      </c>
      <c r="K811">
        <v>0.36359999999999998</v>
      </c>
      <c r="L811">
        <v>0.46</v>
      </c>
      <c r="M811">
        <v>0</v>
      </c>
      <c r="N811">
        <v>47</v>
      </c>
      <c r="O811">
        <v>135</v>
      </c>
      <c r="P811">
        <v>182</v>
      </c>
      <c r="Q811" t="str">
        <f>VLOOKUP(MasterData[[#This Row],[season]],[1]Lookup!$A$2:$B$5,2,FALSE)</f>
        <v>Spring</v>
      </c>
      <c r="R811" t="str">
        <f>TEXT(DATE(2026,E811,1),"mmmm")</f>
        <v>February</v>
      </c>
      <c r="S811" t="str">
        <f>IF(OR(H811=0,H811=6),"Weekend","Weekday")</f>
        <v>Weekend</v>
      </c>
      <c r="T811" s="1" t="str">
        <f>VLOOKUP(I811,[1]Lookup!$D$2:$E$5,2,FALSE)</f>
        <v>Clear</v>
      </c>
      <c r="U811" s="1" t="str">
        <f>IF(F811&lt;6,"Night",
IF(F811&lt;12,"Morning",
IF(F811&lt;17,"Afternoon",
IF(F811&lt;21,"Evening","Night"))))</f>
        <v>Afternoon</v>
      </c>
      <c r="V811" s="1" t="str">
        <f>IF(J811&lt;0.3,"Cold",
IF(J811&lt;0.6,"Pleasant","Hot"))</f>
        <v>Pleasant</v>
      </c>
      <c r="W811" s="1" t="str">
        <f>IF(L811&lt;0.4,"Low",
IF(L811&lt;0.7,"Medium","High"))</f>
        <v>Medium</v>
      </c>
      <c r="X811" s="1" t="str">
        <f>IF(M811&lt;0.2,"Low",
IF(M811&lt;0.4,"Medium","High"))</f>
        <v>Low</v>
      </c>
      <c r="Y811" s="1" t="str">
        <f>IF(P811&lt;100,"Low",
IF(P811&lt;300,"Medium","High"))</f>
        <v>Medium</v>
      </c>
    </row>
    <row r="812" spans="1:25" x14ac:dyDescent="0.3">
      <c r="A812">
        <v>820</v>
      </c>
      <c r="B812" s="2">
        <v>40580</v>
      </c>
      <c r="C812">
        <v>1</v>
      </c>
      <c r="D812">
        <v>0</v>
      </c>
      <c r="E812">
        <v>2</v>
      </c>
      <c r="F812">
        <v>14</v>
      </c>
      <c r="G812" t="b">
        <v>0</v>
      </c>
      <c r="H812">
        <v>0</v>
      </c>
      <c r="I812">
        <v>1</v>
      </c>
      <c r="J812">
        <v>0.34</v>
      </c>
      <c r="K812">
        <v>0.34849999999999998</v>
      </c>
      <c r="L812">
        <v>0.46</v>
      </c>
      <c r="M812">
        <v>8.9599999999999999E-2</v>
      </c>
      <c r="N812">
        <v>47</v>
      </c>
      <c r="O812">
        <v>114</v>
      </c>
      <c r="P812">
        <v>161</v>
      </c>
      <c r="Q812" t="str">
        <f>VLOOKUP(MasterData[[#This Row],[season]],[1]Lookup!$A$2:$B$5,2,FALSE)</f>
        <v>Spring</v>
      </c>
      <c r="R812" t="str">
        <f>TEXT(DATE(2026,E812,1),"mmmm")</f>
        <v>February</v>
      </c>
      <c r="S812" t="str">
        <f>IF(OR(H812=0,H812=6),"Weekend","Weekday")</f>
        <v>Weekend</v>
      </c>
      <c r="T812" s="1" t="str">
        <f>VLOOKUP(I812,[1]Lookup!$D$2:$E$5,2,FALSE)</f>
        <v>Clear</v>
      </c>
      <c r="U812" s="1" t="str">
        <f>IF(F812&lt;6,"Night",
IF(F812&lt;12,"Morning",
IF(F812&lt;17,"Afternoon",
IF(F812&lt;21,"Evening","Night"))))</f>
        <v>Afternoon</v>
      </c>
      <c r="V812" s="1" t="str">
        <f>IF(J812&lt;0.3,"Cold",
IF(J812&lt;0.6,"Pleasant","Hot"))</f>
        <v>Pleasant</v>
      </c>
      <c r="W812" s="1" t="str">
        <f>IF(L812&lt;0.4,"Low",
IF(L812&lt;0.7,"Medium","High"))</f>
        <v>Medium</v>
      </c>
      <c r="X812" s="1" t="str">
        <f>IF(M812&lt;0.2,"Low",
IF(M812&lt;0.4,"Medium","High"))</f>
        <v>Low</v>
      </c>
      <c r="Y812" s="1" t="str">
        <f>IF(P812&lt;100,"Low",
IF(P812&lt;300,"Medium","High"))</f>
        <v>Medium</v>
      </c>
    </row>
    <row r="813" spans="1:25" x14ac:dyDescent="0.3">
      <c r="A813">
        <v>821</v>
      </c>
      <c r="B813" s="2">
        <v>40580</v>
      </c>
      <c r="C813">
        <v>1</v>
      </c>
      <c r="D813">
        <v>0</v>
      </c>
      <c r="E813">
        <v>2</v>
      </c>
      <c r="F813">
        <v>15</v>
      </c>
      <c r="G813" t="b">
        <v>0</v>
      </c>
      <c r="H813">
        <v>0</v>
      </c>
      <c r="I813">
        <v>1</v>
      </c>
      <c r="J813">
        <v>0.34</v>
      </c>
      <c r="K813">
        <v>0.34849999999999998</v>
      </c>
      <c r="L813">
        <v>0.46</v>
      </c>
      <c r="M813">
        <v>8.9599999999999999E-2</v>
      </c>
      <c r="N813">
        <v>52</v>
      </c>
      <c r="O813">
        <v>130</v>
      </c>
      <c r="P813">
        <v>182</v>
      </c>
      <c r="Q813" t="str">
        <f>VLOOKUP(MasterData[[#This Row],[season]],[1]Lookup!$A$2:$B$5,2,FALSE)</f>
        <v>Spring</v>
      </c>
      <c r="R813" t="str">
        <f>TEXT(DATE(2026,E813,1),"mmmm")</f>
        <v>February</v>
      </c>
      <c r="S813" t="str">
        <f>IF(OR(H813=0,H813=6),"Weekend","Weekday")</f>
        <v>Weekend</v>
      </c>
      <c r="T813" s="1" t="str">
        <f>VLOOKUP(I813,[1]Lookup!$D$2:$E$5,2,FALSE)</f>
        <v>Clear</v>
      </c>
      <c r="U813" s="1" t="str">
        <f>IF(F813&lt;6,"Night",
IF(F813&lt;12,"Morning",
IF(F813&lt;17,"Afternoon",
IF(F813&lt;21,"Evening","Night"))))</f>
        <v>Afternoon</v>
      </c>
      <c r="V813" s="1" t="str">
        <f>IF(J813&lt;0.3,"Cold",
IF(J813&lt;0.6,"Pleasant","Hot"))</f>
        <v>Pleasant</v>
      </c>
      <c r="W813" s="1" t="str">
        <f>IF(L813&lt;0.4,"Low",
IF(L813&lt;0.7,"Medium","High"))</f>
        <v>Medium</v>
      </c>
      <c r="X813" s="1" t="str">
        <f>IF(M813&lt;0.2,"Low",
IF(M813&lt;0.4,"Medium","High"))</f>
        <v>Low</v>
      </c>
      <c r="Y813" s="1" t="str">
        <f>IF(P813&lt;100,"Low",
IF(P813&lt;300,"Medium","High"))</f>
        <v>Medium</v>
      </c>
    </row>
    <row r="814" spans="1:25" x14ac:dyDescent="0.3">
      <c r="A814">
        <v>822</v>
      </c>
      <c r="B814" s="2">
        <v>40580</v>
      </c>
      <c r="C814">
        <v>1</v>
      </c>
      <c r="D814">
        <v>0</v>
      </c>
      <c r="E814">
        <v>2</v>
      </c>
      <c r="F814">
        <v>16</v>
      </c>
      <c r="G814" t="b">
        <v>0</v>
      </c>
      <c r="H814">
        <v>0</v>
      </c>
      <c r="I814">
        <v>1</v>
      </c>
      <c r="J814">
        <v>0.34</v>
      </c>
      <c r="K814">
        <v>0.34849999999999998</v>
      </c>
      <c r="L814">
        <v>0.49</v>
      </c>
      <c r="M814">
        <v>0.1045</v>
      </c>
      <c r="N814">
        <v>42</v>
      </c>
      <c r="O814">
        <v>115</v>
      </c>
      <c r="P814">
        <v>157</v>
      </c>
      <c r="Q814" t="str">
        <f>VLOOKUP(MasterData[[#This Row],[season]],[1]Lookup!$A$2:$B$5,2,FALSE)</f>
        <v>Spring</v>
      </c>
      <c r="R814" t="str">
        <f>TEXT(DATE(2026,E814,1),"mmmm")</f>
        <v>February</v>
      </c>
      <c r="S814" t="str">
        <f>IF(OR(H814=0,H814=6),"Weekend","Weekday")</f>
        <v>Weekend</v>
      </c>
      <c r="T814" s="1" t="str">
        <f>VLOOKUP(I814,[1]Lookup!$D$2:$E$5,2,FALSE)</f>
        <v>Clear</v>
      </c>
      <c r="U814" s="1" t="str">
        <f>IF(F814&lt;6,"Night",
IF(F814&lt;12,"Morning",
IF(F814&lt;17,"Afternoon",
IF(F814&lt;21,"Evening","Night"))))</f>
        <v>Afternoon</v>
      </c>
      <c r="V814" s="1" t="str">
        <f>IF(J814&lt;0.3,"Cold",
IF(J814&lt;0.6,"Pleasant","Hot"))</f>
        <v>Pleasant</v>
      </c>
      <c r="W814" s="1" t="str">
        <f>IF(L814&lt;0.4,"Low",
IF(L814&lt;0.7,"Medium","High"))</f>
        <v>Medium</v>
      </c>
      <c r="X814" s="1" t="str">
        <f>IF(M814&lt;0.2,"Low",
IF(M814&lt;0.4,"Medium","High"))</f>
        <v>Low</v>
      </c>
      <c r="Y814" s="1" t="str">
        <f>IF(P814&lt;100,"Low",
IF(P814&lt;300,"Medium","High"))</f>
        <v>Medium</v>
      </c>
    </row>
    <row r="815" spans="1:25" x14ac:dyDescent="0.3">
      <c r="A815">
        <v>823</v>
      </c>
      <c r="B815" s="2">
        <v>40580</v>
      </c>
      <c r="C815">
        <v>1</v>
      </c>
      <c r="D815">
        <v>0</v>
      </c>
      <c r="E815">
        <v>2</v>
      </c>
      <c r="F815">
        <v>17</v>
      </c>
      <c r="G815" t="b">
        <v>0</v>
      </c>
      <c r="H815">
        <v>0</v>
      </c>
      <c r="I815">
        <v>1</v>
      </c>
      <c r="J815">
        <v>0.34</v>
      </c>
      <c r="K815">
        <v>0.36359999999999998</v>
      </c>
      <c r="L815">
        <v>0.46</v>
      </c>
      <c r="M815">
        <v>0</v>
      </c>
      <c r="N815">
        <v>24</v>
      </c>
      <c r="O815">
        <v>97</v>
      </c>
      <c r="P815">
        <v>121</v>
      </c>
      <c r="Q815" t="str">
        <f>VLOOKUP(MasterData[[#This Row],[season]],[1]Lookup!$A$2:$B$5,2,FALSE)</f>
        <v>Spring</v>
      </c>
      <c r="R815" t="str">
        <f>TEXT(DATE(2026,E815,1),"mmmm")</f>
        <v>February</v>
      </c>
      <c r="S815" t="str">
        <f>IF(OR(H815=0,H815=6),"Weekend","Weekday")</f>
        <v>Weekend</v>
      </c>
      <c r="T815" s="1" t="str">
        <f>VLOOKUP(I815,[1]Lookup!$D$2:$E$5,2,FALSE)</f>
        <v>Clear</v>
      </c>
      <c r="U815" s="1" t="str">
        <f>IF(F815&lt;6,"Night",
IF(F815&lt;12,"Morning",
IF(F815&lt;17,"Afternoon",
IF(F815&lt;21,"Evening","Night"))))</f>
        <v>Evening</v>
      </c>
      <c r="V815" s="1" t="str">
        <f>IF(J815&lt;0.3,"Cold",
IF(J815&lt;0.6,"Pleasant","Hot"))</f>
        <v>Pleasant</v>
      </c>
      <c r="W815" s="1" t="str">
        <f>IF(L815&lt;0.4,"Low",
IF(L815&lt;0.7,"Medium","High"))</f>
        <v>Medium</v>
      </c>
      <c r="X815" s="1" t="str">
        <f>IF(M815&lt;0.2,"Low",
IF(M815&lt;0.4,"Medium","High"))</f>
        <v>Low</v>
      </c>
      <c r="Y815" s="1" t="str">
        <f>IF(P815&lt;100,"Low",
IF(P815&lt;300,"Medium","High"))</f>
        <v>Medium</v>
      </c>
    </row>
    <row r="816" spans="1:25" x14ac:dyDescent="0.3">
      <c r="A816">
        <v>824</v>
      </c>
      <c r="B816" s="2">
        <v>40580</v>
      </c>
      <c r="C816">
        <v>1</v>
      </c>
      <c r="D816">
        <v>0</v>
      </c>
      <c r="E816">
        <v>2</v>
      </c>
      <c r="F816">
        <v>18</v>
      </c>
      <c r="G816" t="b">
        <v>0</v>
      </c>
      <c r="H816">
        <v>0</v>
      </c>
      <c r="I816">
        <v>1</v>
      </c>
      <c r="J816">
        <v>0.3</v>
      </c>
      <c r="K816">
        <v>0.30299999999999999</v>
      </c>
      <c r="L816">
        <v>0.56000000000000005</v>
      </c>
      <c r="M816">
        <v>0.16420000000000001</v>
      </c>
      <c r="N816">
        <v>13</v>
      </c>
      <c r="O816">
        <v>65</v>
      </c>
      <c r="P816">
        <v>78</v>
      </c>
      <c r="Q816" t="str">
        <f>VLOOKUP(MasterData[[#This Row],[season]],[1]Lookup!$A$2:$B$5,2,FALSE)</f>
        <v>Spring</v>
      </c>
      <c r="R816" t="str">
        <f>TEXT(DATE(2026,E816,1),"mmmm")</f>
        <v>February</v>
      </c>
      <c r="S816" t="str">
        <f>IF(OR(H816=0,H816=6),"Weekend","Weekday")</f>
        <v>Weekend</v>
      </c>
      <c r="T816" s="1" t="str">
        <f>VLOOKUP(I816,[1]Lookup!$D$2:$E$5,2,FALSE)</f>
        <v>Clear</v>
      </c>
      <c r="U816" s="1" t="str">
        <f>IF(F816&lt;6,"Night",
IF(F816&lt;12,"Morning",
IF(F816&lt;17,"Afternoon",
IF(F816&lt;21,"Evening","Night"))))</f>
        <v>Evening</v>
      </c>
      <c r="V816" s="1" t="str">
        <f>IF(J816&lt;0.3,"Cold",
IF(J816&lt;0.6,"Pleasant","Hot"))</f>
        <v>Pleasant</v>
      </c>
      <c r="W816" s="1" t="str">
        <f>IF(L816&lt;0.4,"Low",
IF(L816&lt;0.7,"Medium","High"))</f>
        <v>Medium</v>
      </c>
      <c r="X816" s="1" t="str">
        <f>IF(M816&lt;0.2,"Low",
IF(M816&lt;0.4,"Medium","High"))</f>
        <v>Low</v>
      </c>
      <c r="Y816" s="1" t="str">
        <f>IF(P816&lt;100,"Low",
IF(P816&lt;300,"Medium","High"))</f>
        <v>Low</v>
      </c>
    </row>
    <row r="817" spans="1:25" x14ac:dyDescent="0.3">
      <c r="A817">
        <v>825</v>
      </c>
      <c r="B817" s="2">
        <v>40580</v>
      </c>
      <c r="C817">
        <v>1</v>
      </c>
      <c r="D817">
        <v>0</v>
      </c>
      <c r="E817">
        <v>2</v>
      </c>
      <c r="F817">
        <v>19</v>
      </c>
      <c r="G817" t="b">
        <v>0</v>
      </c>
      <c r="H817">
        <v>0</v>
      </c>
      <c r="I817">
        <v>1</v>
      </c>
      <c r="J817">
        <v>0.28000000000000003</v>
      </c>
      <c r="K817">
        <v>0.28789999999999999</v>
      </c>
      <c r="L817">
        <v>0.61</v>
      </c>
      <c r="M817">
        <v>0.1343</v>
      </c>
      <c r="N817">
        <v>1</v>
      </c>
      <c r="O817">
        <v>20</v>
      </c>
      <c r="P817">
        <v>21</v>
      </c>
      <c r="Q817" t="str">
        <f>VLOOKUP(MasterData[[#This Row],[season]],[1]Lookup!$A$2:$B$5,2,FALSE)</f>
        <v>Spring</v>
      </c>
      <c r="R817" t="str">
        <f>TEXT(DATE(2026,E817,1),"mmmm")</f>
        <v>February</v>
      </c>
      <c r="S817" t="str">
        <f>IF(OR(H817=0,H817=6),"Weekend","Weekday")</f>
        <v>Weekend</v>
      </c>
      <c r="T817" s="1" t="str">
        <f>VLOOKUP(I817,[1]Lookup!$D$2:$E$5,2,FALSE)</f>
        <v>Clear</v>
      </c>
      <c r="U817" s="1" t="str">
        <f>IF(F817&lt;6,"Night",
IF(F817&lt;12,"Morning",
IF(F817&lt;17,"Afternoon",
IF(F817&lt;21,"Evening","Night"))))</f>
        <v>Evening</v>
      </c>
      <c r="V817" s="1" t="str">
        <f>IF(J817&lt;0.3,"Cold",
IF(J817&lt;0.6,"Pleasant","Hot"))</f>
        <v>Cold</v>
      </c>
      <c r="W817" s="1" t="str">
        <f>IF(L817&lt;0.4,"Low",
IF(L817&lt;0.7,"Medium","High"))</f>
        <v>Medium</v>
      </c>
      <c r="X817" s="1" t="str">
        <f>IF(M817&lt;0.2,"Low",
IF(M817&lt;0.4,"Medium","High"))</f>
        <v>Low</v>
      </c>
      <c r="Y817" s="1" t="str">
        <f>IF(P817&lt;100,"Low",
IF(P817&lt;300,"Medium","High"))</f>
        <v>Low</v>
      </c>
    </row>
    <row r="818" spans="1:25" x14ac:dyDescent="0.3">
      <c r="A818">
        <v>826</v>
      </c>
      <c r="B818" s="2">
        <v>40580</v>
      </c>
      <c r="C818">
        <v>1</v>
      </c>
      <c r="D818">
        <v>0</v>
      </c>
      <c r="E818">
        <v>2</v>
      </c>
      <c r="F818">
        <v>20</v>
      </c>
      <c r="G818" t="b">
        <v>0</v>
      </c>
      <c r="H818">
        <v>0</v>
      </c>
      <c r="I818">
        <v>1</v>
      </c>
      <c r="J818">
        <v>0.28000000000000003</v>
      </c>
      <c r="K818">
        <v>0.28789999999999999</v>
      </c>
      <c r="L818">
        <v>0.61</v>
      </c>
      <c r="M818">
        <v>0.1045</v>
      </c>
      <c r="N818">
        <v>5</v>
      </c>
      <c r="O818">
        <v>21</v>
      </c>
      <c r="P818">
        <v>26</v>
      </c>
      <c r="Q818" t="str">
        <f>VLOOKUP(MasterData[[#This Row],[season]],[1]Lookup!$A$2:$B$5,2,FALSE)</f>
        <v>Spring</v>
      </c>
      <c r="R818" t="str">
        <f>TEXT(DATE(2026,E818,1),"mmmm")</f>
        <v>February</v>
      </c>
      <c r="S818" t="str">
        <f>IF(OR(H818=0,H818=6),"Weekend","Weekday")</f>
        <v>Weekend</v>
      </c>
      <c r="T818" s="1" t="str">
        <f>VLOOKUP(I818,[1]Lookup!$D$2:$E$5,2,FALSE)</f>
        <v>Clear</v>
      </c>
      <c r="U818" s="1" t="str">
        <f>IF(F818&lt;6,"Night",
IF(F818&lt;12,"Morning",
IF(F818&lt;17,"Afternoon",
IF(F818&lt;21,"Evening","Night"))))</f>
        <v>Evening</v>
      </c>
      <c r="V818" s="1" t="str">
        <f>IF(J818&lt;0.3,"Cold",
IF(J818&lt;0.6,"Pleasant","Hot"))</f>
        <v>Cold</v>
      </c>
      <c r="W818" s="1" t="str">
        <f>IF(L818&lt;0.4,"Low",
IF(L818&lt;0.7,"Medium","High"))</f>
        <v>Medium</v>
      </c>
      <c r="X818" s="1" t="str">
        <f>IF(M818&lt;0.2,"Low",
IF(M818&lt;0.4,"Medium","High"))</f>
        <v>Low</v>
      </c>
      <c r="Y818" s="1" t="str">
        <f>IF(P818&lt;100,"Low",
IF(P818&lt;300,"Medium","High"))</f>
        <v>Low</v>
      </c>
    </row>
    <row r="819" spans="1:25" x14ac:dyDescent="0.3">
      <c r="A819">
        <v>827</v>
      </c>
      <c r="B819" s="2">
        <v>40580</v>
      </c>
      <c r="C819">
        <v>1</v>
      </c>
      <c r="D819">
        <v>0</v>
      </c>
      <c r="E819">
        <v>2</v>
      </c>
      <c r="F819">
        <v>21</v>
      </c>
      <c r="G819" t="b">
        <v>0</v>
      </c>
      <c r="H819">
        <v>0</v>
      </c>
      <c r="I819">
        <v>1</v>
      </c>
      <c r="J819">
        <v>0.26</v>
      </c>
      <c r="K819">
        <v>0.30299999999999999</v>
      </c>
      <c r="L819">
        <v>0.6</v>
      </c>
      <c r="M819">
        <v>0</v>
      </c>
      <c r="N819">
        <v>5</v>
      </c>
      <c r="O819">
        <v>22</v>
      </c>
      <c r="P819">
        <v>27</v>
      </c>
      <c r="Q819" t="str">
        <f>VLOOKUP(MasterData[[#This Row],[season]],[1]Lookup!$A$2:$B$5,2,FALSE)</f>
        <v>Spring</v>
      </c>
      <c r="R819" t="str">
        <f>TEXT(DATE(2026,E819,1),"mmmm")</f>
        <v>February</v>
      </c>
      <c r="S819" t="str">
        <f>IF(OR(H819=0,H819=6),"Weekend","Weekday")</f>
        <v>Weekend</v>
      </c>
      <c r="T819" s="1" t="str">
        <f>VLOOKUP(I819,[1]Lookup!$D$2:$E$5,2,FALSE)</f>
        <v>Clear</v>
      </c>
      <c r="U819" s="1" t="str">
        <f>IF(F819&lt;6,"Night",
IF(F819&lt;12,"Morning",
IF(F819&lt;17,"Afternoon",
IF(F819&lt;21,"Evening","Night"))))</f>
        <v>Night</v>
      </c>
      <c r="V819" s="1" t="str">
        <f>IF(J819&lt;0.3,"Cold",
IF(J819&lt;0.6,"Pleasant","Hot"))</f>
        <v>Cold</v>
      </c>
      <c r="W819" s="1" t="str">
        <f>IF(L819&lt;0.4,"Low",
IF(L819&lt;0.7,"Medium","High"))</f>
        <v>Medium</v>
      </c>
      <c r="X819" s="1" t="str">
        <f>IF(M819&lt;0.2,"Low",
IF(M819&lt;0.4,"Medium","High"))</f>
        <v>Low</v>
      </c>
      <c r="Y819" s="1" t="str">
        <f>IF(P819&lt;100,"Low",
IF(P819&lt;300,"Medium","High"))</f>
        <v>Low</v>
      </c>
    </row>
    <row r="820" spans="1:25" x14ac:dyDescent="0.3">
      <c r="A820">
        <v>828</v>
      </c>
      <c r="B820" s="2">
        <v>40580</v>
      </c>
      <c r="C820">
        <v>1</v>
      </c>
      <c r="D820">
        <v>0</v>
      </c>
      <c r="E820">
        <v>2</v>
      </c>
      <c r="F820">
        <v>22</v>
      </c>
      <c r="G820" t="b">
        <v>0</v>
      </c>
      <c r="H820">
        <v>0</v>
      </c>
      <c r="I820">
        <v>1</v>
      </c>
      <c r="J820">
        <v>0.26</v>
      </c>
      <c r="K820">
        <v>0.30299999999999999</v>
      </c>
      <c r="L820">
        <v>0.6</v>
      </c>
      <c r="M820">
        <v>0</v>
      </c>
      <c r="N820">
        <v>5</v>
      </c>
      <c r="O820">
        <v>57</v>
      </c>
      <c r="P820">
        <v>62</v>
      </c>
      <c r="Q820" t="str">
        <f>VLOOKUP(MasterData[[#This Row],[season]],[1]Lookup!$A$2:$B$5,2,FALSE)</f>
        <v>Spring</v>
      </c>
      <c r="R820" t="str">
        <f>TEXT(DATE(2026,E820,1),"mmmm")</f>
        <v>February</v>
      </c>
      <c r="S820" t="str">
        <f>IF(OR(H820=0,H820=6),"Weekend","Weekday")</f>
        <v>Weekend</v>
      </c>
      <c r="T820" s="1" t="str">
        <f>VLOOKUP(I820,[1]Lookup!$D$2:$E$5,2,FALSE)</f>
        <v>Clear</v>
      </c>
      <c r="U820" s="1" t="str">
        <f>IF(F820&lt;6,"Night",
IF(F820&lt;12,"Morning",
IF(F820&lt;17,"Afternoon",
IF(F820&lt;21,"Evening","Night"))))</f>
        <v>Night</v>
      </c>
      <c r="V820" s="1" t="str">
        <f>IF(J820&lt;0.3,"Cold",
IF(J820&lt;0.6,"Pleasant","Hot"))</f>
        <v>Cold</v>
      </c>
      <c r="W820" s="1" t="str">
        <f>IF(L820&lt;0.4,"Low",
IF(L820&lt;0.7,"Medium","High"))</f>
        <v>Medium</v>
      </c>
      <c r="X820" s="1" t="str">
        <f>IF(M820&lt;0.2,"Low",
IF(M820&lt;0.4,"Medium","High"))</f>
        <v>Low</v>
      </c>
      <c r="Y820" s="1" t="str">
        <f>IF(P820&lt;100,"Low",
IF(P820&lt;300,"Medium","High"))</f>
        <v>Low</v>
      </c>
    </row>
    <row r="821" spans="1:25" x14ac:dyDescent="0.3">
      <c r="A821">
        <v>829</v>
      </c>
      <c r="B821" s="2">
        <v>40580</v>
      </c>
      <c r="C821">
        <v>1</v>
      </c>
      <c r="D821">
        <v>0</v>
      </c>
      <c r="E821">
        <v>2</v>
      </c>
      <c r="F821">
        <v>23</v>
      </c>
      <c r="G821" t="b">
        <v>0</v>
      </c>
      <c r="H821">
        <v>0</v>
      </c>
      <c r="I821">
        <v>1</v>
      </c>
      <c r="J821">
        <v>0.24</v>
      </c>
      <c r="K821">
        <v>0.28789999999999999</v>
      </c>
      <c r="L821">
        <v>0.65</v>
      </c>
      <c r="M821">
        <v>0</v>
      </c>
      <c r="N821">
        <v>4</v>
      </c>
      <c r="O821">
        <v>26</v>
      </c>
      <c r="P821">
        <v>30</v>
      </c>
      <c r="Q821" t="str">
        <f>VLOOKUP(MasterData[[#This Row],[season]],[1]Lookup!$A$2:$B$5,2,FALSE)</f>
        <v>Spring</v>
      </c>
      <c r="R821" t="str">
        <f>TEXT(DATE(2026,E821,1),"mmmm")</f>
        <v>February</v>
      </c>
      <c r="S821" t="str">
        <f>IF(OR(H821=0,H821=6),"Weekend","Weekday")</f>
        <v>Weekend</v>
      </c>
      <c r="T821" s="1" t="str">
        <f>VLOOKUP(I821,[1]Lookup!$D$2:$E$5,2,FALSE)</f>
        <v>Clear</v>
      </c>
      <c r="U821" s="1" t="str">
        <f>IF(F821&lt;6,"Night",
IF(F821&lt;12,"Morning",
IF(F821&lt;17,"Afternoon",
IF(F821&lt;21,"Evening","Night"))))</f>
        <v>Night</v>
      </c>
      <c r="V821" s="1" t="str">
        <f>IF(J821&lt;0.3,"Cold",
IF(J821&lt;0.6,"Pleasant","Hot"))</f>
        <v>Cold</v>
      </c>
      <c r="W821" s="1" t="str">
        <f>IF(L821&lt;0.4,"Low",
IF(L821&lt;0.7,"Medium","High"))</f>
        <v>Medium</v>
      </c>
      <c r="X821" s="1" t="str">
        <f>IF(M821&lt;0.2,"Low",
IF(M821&lt;0.4,"Medium","High"))</f>
        <v>Low</v>
      </c>
      <c r="Y821" s="1" t="str">
        <f>IF(P821&lt;100,"Low",
IF(P821&lt;300,"Medium","High"))</f>
        <v>Low</v>
      </c>
    </row>
    <row r="822" spans="1:25" x14ac:dyDescent="0.3">
      <c r="A822">
        <v>830</v>
      </c>
      <c r="B822" s="2">
        <v>40581</v>
      </c>
      <c r="C822">
        <v>1</v>
      </c>
      <c r="D822">
        <v>0</v>
      </c>
      <c r="E822">
        <v>2</v>
      </c>
      <c r="F822">
        <v>0</v>
      </c>
      <c r="G822" t="b">
        <v>0</v>
      </c>
      <c r="H822">
        <v>1</v>
      </c>
      <c r="I822">
        <v>1</v>
      </c>
      <c r="J822">
        <v>0.24</v>
      </c>
      <c r="K822">
        <v>0.28789999999999999</v>
      </c>
      <c r="L822">
        <v>0.65</v>
      </c>
      <c r="M822">
        <v>0</v>
      </c>
      <c r="N822">
        <v>1</v>
      </c>
      <c r="O822">
        <v>14</v>
      </c>
      <c r="P822">
        <v>15</v>
      </c>
      <c r="Q822" t="str">
        <f>VLOOKUP(MasterData[[#This Row],[season]],[1]Lookup!$A$2:$B$5,2,FALSE)</f>
        <v>Spring</v>
      </c>
      <c r="R822" t="str">
        <f>TEXT(DATE(2026,E822,1),"mmmm")</f>
        <v>February</v>
      </c>
      <c r="S822" t="str">
        <f>IF(OR(H822=0,H822=6),"Weekend","Weekday")</f>
        <v>Weekday</v>
      </c>
      <c r="T822" s="1" t="str">
        <f>VLOOKUP(I822,[1]Lookup!$D$2:$E$5,2,FALSE)</f>
        <v>Clear</v>
      </c>
      <c r="U822" s="1" t="str">
        <f>IF(F822&lt;6,"Night",
IF(F822&lt;12,"Morning",
IF(F822&lt;17,"Afternoon",
IF(F822&lt;21,"Evening","Night"))))</f>
        <v>Night</v>
      </c>
      <c r="V822" s="1" t="str">
        <f>IF(J822&lt;0.3,"Cold",
IF(J822&lt;0.6,"Pleasant","Hot"))</f>
        <v>Cold</v>
      </c>
      <c r="W822" s="1" t="str">
        <f>IF(L822&lt;0.4,"Low",
IF(L822&lt;0.7,"Medium","High"))</f>
        <v>Medium</v>
      </c>
      <c r="X822" s="1" t="str">
        <f>IF(M822&lt;0.2,"Low",
IF(M822&lt;0.4,"Medium","High"))</f>
        <v>Low</v>
      </c>
      <c r="Y822" s="1" t="str">
        <f>IF(P822&lt;100,"Low",
IF(P822&lt;300,"Medium","High"))</f>
        <v>Low</v>
      </c>
    </row>
    <row r="823" spans="1:25" x14ac:dyDescent="0.3">
      <c r="A823">
        <v>831</v>
      </c>
      <c r="B823" s="2">
        <v>40581</v>
      </c>
      <c r="C823">
        <v>1</v>
      </c>
      <c r="D823">
        <v>0</v>
      </c>
      <c r="E823">
        <v>2</v>
      </c>
      <c r="F823">
        <v>1</v>
      </c>
      <c r="G823" t="b">
        <v>0</v>
      </c>
      <c r="H823">
        <v>1</v>
      </c>
      <c r="I823">
        <v>1</v>
      </c>
      <c r="J823">
        <v>0.22</v>
      </c>
      <c r="K823">
        <v>0.2727</v>
      </c>
      <c r="L823">
        <v>0.75</v>
      </c>
      <c r="M823">
        <v>0</v>
      </c>
      <c r="N823">
        <v>1</v>
      </c>
      <c r="O823">
        <v>4</v>
      </c>
      <c r="P823">
        <v>5</v>
      </c>
      <c r="Q823" t="str">
        <f>VLOOKUP(MasterData[[#This Row],[season]],[1]Lookup!$A$2:$B$5,2,FALSE)</f>
        <v>Spring</v>
      </c>
      <c r="R823" t="str">
        <f>TEXT(DATE(2026,E823,1),"mmmm")</f>
        <v>February</v>
      </c>
      <c r="S823" t="str">
        <f>IF(OR(H823=0,H823=6),"Weekend","Weekday")</f>
        <v>Weekday</v>
      </c>
      <c r="T823" s="1" t="str">
        <f>VLOOKUP(I823,[1]Lookup!$D$2:$E$5,2,FALSE)</f>
        <v>Clear</v>
      </c>
      <c r="U823" s="1" t="str">
        <f>IF(F823&lt;6,"Night",
IF(F823&lt;12,"Morning",
IF(F823&lt;17,"Afternoon",
IF(F823&lt;21,"Evening","Night"))))</f>
        <v>Night</v>
      </c>
      <c r="V823" s="1" t="str">
        <f>IF(J823&lt;0.3,"Cold",
IF(J823&lt;0.6,"Pleasant","Hot"))</f>
        <v>Cold</v>
      </c>
      <c r="W823" s="1" t="str">
        <f>IF(L823&lt;0.4,"Low",
IF(L823&lt;0.7,"Medium","High"))</f>
        <v>High</v>
      </c>
      <c r="X823" s="1" t="str">
        <f>IF(M823&lt;0.2,"Low",
IF(M823&lt;0.4,"Medium","High"))</f>
        <v>Low</v>
      </c>
      <c r="Y823" s="1" t="str">
        <f>IF(P823&lt;100,"Low",
IF(P823&lt;300,"Medium","High"))</f>
        <v>Low</v>
      </c>
    </row>
    <row r="824" spans="1:25" x14ac:dyDescent="0.3">
      <c r="A824">
        <v>832</v>
      </c>
      <c r="B824" s="2">
        <v>40581</v>
      </c>
      <c r="C824">
        <v>1</v>
      </c>
      <c r="D824">
        <v>0</v>
      </c>
      <c r="E824">
        <v>2</v>
      </c>
      <c r="F824">
        <v>2</v>
      </c>
      <c r="G824" t="b">
        <v>0</v>
      </c>
      <c r="H824">
        <v>1</v>
      </c>
      <c r="I824">
        <v>1</v>
      </c>
      <c r="J824">
        <v>0.2</v>
      </c>
      <c r="K824">
        <v>0.2576</v>
      </c>
      <c r="L824">
        <v>0.8</v>
      </c>
      <c r="M824">
        <v>0</v>
      </c>
      <c r="N824">
        <v>0</v>
      </c>
      <c r="O824">
        <v>3</v>
      </c>
      <c r="P824">
        <v>3</v>
      </c>
      <c r="Q824" t="str">
        <f>VLOOKUP(MasterData[[#This Row],[season]],[1]Lookup!$A$2:$B$5,2,FALSE)</f>
        <v>Spring</v>
      </c>
      <c r="R824" t="str">
        <f>TEXT(DATE(2026,E824,1),"mmmm")</f>
        <v>February</v>
      </c>
      <c r="S824" t="str">
        <f>IF(OR(H824=0,H824=6),"Weekend","Weekday")</f>
        <v>Weekday</v>
      </c>
      <c r="T824" s="1" t="str">
        <f>VLOOKUP(I824,[1]Lookup!$D$2:$E$5,2,FALSE)</f>
        <v>Clear</v>
      </c>
      <c r="U824" s="1" t="str">
        <f>IF(F824&lt;6,"Night",
IF(F824&lt;12,"Morning",
IF(F824&lt;17,"Afternoon",
IF(F824&lt;21,"Evening","Night"))))</f>
        <v>Night</v>
      </c>
      <c r="V824" s="1" t="str">
        <f>IF(J824&lt;0.3,"Cold",
IF(J824&lt;0.6,"Pleasant","Hot"))</f>
        <v>Cold</v>
      </c>
      <c r="W824" s="1" t="str">
        <f>IF(L824&lt;0.4,"Low",
IF(L824&lt;0.7,"Medium","High"))</f>
        <v>High</v>
      </c>
      <c r="X824" s="1" t="str">
        <f>IF(M824&lt;0.2,"Low",
IF(M824&lt;0.4,"Medium","High"))</f>
        <v>Low</v>
      </c>
      <c r="Y824" s="1" t="str">
        <f>IF(P824&lt;100,"Low",
IF(P824&lt;300,"Medium","High"))</f>
        <v>Low</v>
      </c>
    </row>
    <row r="825" spans="1:25" x14ac:dyDescent="0.3">
      <c r="A825">
        <v>833</v>
      </c>
      <c r="B825" s="2">
        <v>40581</v>
      </c>
      <c r="C825">
        <v>1</v>
      </c>
      <c r="D825">
        <v>0</v>
      </c>
      <c r="E825">
        <v>2</v>
      </c>
      <c r="F825">
        <v>3</v>
      </c>
      <c r="G825" t="b">
        <v>0</v>
      </c>
      <c r="H825">
        <v>1</v>
      </c>
      <c r="I825">
        <v>1</v>
      </c>
      <c r="J825">
        <v>0.2</v>
      </c>
      <c r="K825">
        <v>0.2576</v>
      </c>
      <c r="L825">
        <v>0.86</v>
      </c>
      <c r="M825">
        <v>0</v>
      </c>
      <c r="N825">
        <v>0</v>
      </c>
      <c r="O825">
        <v>1</v>
      </c>
      <c r="P825">
        <v>1</v>
      </c>
      <c r="Q825" t="str">
        <f>VLOOKUP(MasterData[[#This Row],[season]],[1]Lookup!$A$2:$B$5,2,FALSE)</f>
        <v>Spring</v>
      </c>
      <c r="R825" t="str">
        <f>TEXT(DATE(2026,E825,1),"mmmm")</f>
        <v>February</v>
      </c>
      <c r="S825" t="str">
        <f>IF(OR(H825=0,H825=6),"Weekend","Weekday")</f>
        <v>Weekday</v>
      </c>
      <c r="T825" s="1" t="str">
        <f>VLOOKUP(I825,[1]Lookup!$D$2:$E$5,2,FALSE)</f>
        <v>Clear</v>
      </c>
      <c r="U825" s="1" t="str">
        <f>IF(F825&lt;6,"Night",
IF(F825&lt;12,"Morning",
IF(F825&lt;17,"Afternoon",
IF(F825&lt;21,"Evening","Night"))))</f>
        <v>Night</v>
      </c>
      <c r="V825" s="1" t="str">
        <f>IF(J825&lt;0.3,"Cold",
IF(J825&lt;0.6,"Pleasant","Hot"))</f>
        <v>Cold</v>
      </c>
      <c r="W825" s="1" t="str">
        <f>IF(L825&lt;0.4,"Low",
IF(L825&lt;0.7,"Medium","High"))</f>
        <v>High</v>
      </c>
      <c r="X825" s="1" t="str">
        <f>IF(M825&lt;0.2,"Low",
IF(M825&lt;0.4,"Medium","High"))</f>
        <v>Low</v>
      </c>
      <c r="Y825" s="1" t="str">
        <f>IF(P825&lt;100,"Low",
IF(P825&lt;300,"Medium","High"))</f>
        <v>Low</v>
      </c>
    </row>
    <row r="826" spans="1:25" x14ac:dyDescent="0.3">
      <c r="A826">
        <v>834</v>
      </c>
      <c r="B826" s="2">
        <v>40581</v>
      </c>
      <c r="C826">
        <v>1</v>
      </c>
      <c r="D826">
        <v>0</v>
      </c>
      <c r="E826">
        <v>2</v>
      </c>
      <c r="F826">
        <v>4</v>
      </c>
      <c r="G826" t="b">
        <v>0</v>
      </c>
      <c r="H826">
        <v>1</v>
      </c>
      <c r="I826">
        <v>1</v>
      </c>
      <c r="J826">
        <v>0.2</v>
      </c>
      <c r="K826">
        <v>0.2576</v>
      </c>
      <c r="L826">
        <v>0.86</v>
      </c>
      <c r="M826">
        <v>0</v>
      </c>
      <c r="N826">
        <v>1</v>
      </c>
      <c r="O826">
        <v>1</v>
      </c>
      <c r="P826">
        <v>2</v>
      </c>
      <c r="Q826" t="str">
        <f>VLOOKUP(MasterData[[#This Row],[season]],[1]Lookup!$A$2:$B$5,2,FALSE)</f>
        <v>Spring</v>
      </c>
      <c r="R826" t="str">
        <f>TEXT(DATE(2026,E826,1),"mmmm")</f>
        <v>February</v>
      </c>
      <c r="S826" t="str">
        <f>IF(OR(H826=0,H826=6),"Weekend","Weekday")</f>
        <v>Weekday</v>
      </c>
      <c r="T826" s="1" t="str">
        <f>VLOOKUP(I826,[1]Lookup!$D$2:$E$5,2,FALSE)</f>
        <v>Clear</v>
      </c>
      <c r="U826" s="1" t="str">
        <f>IF(F826&lt;6,"Night",
IF(F826&lt;12,"Morning",
IF(F826&lt;17,"Afternoon",
IF(F826&lt;21,"Evening","Night"))))</f>
        <v>Night</v>
      </c>
      <c r="V826" s="1" t="str">
        <f>IF(J826&lt;0.3,"Cold",
IF(J826&lt;0.6,"Pleasant","Hot"))</f>
        <v>Cold</v>
      </c>
      <c r="W826" s="1" t="str">
        <f>IF(L826&lt;0.4,"Low",
IF(L826&lt;0.7,"Medium","High"))</f>
        <v>High</v>
      </c>
      <c r="X826" s="1" t="str">
        <f>IF(M826&lt;0.2,"Low",
IF(M826&lt;0.4,"Medium","High"))</f>
        <v>Low</v>
      </c>
      <c r="Y826" s="1" t="str">
        <f>IF(P826&lt;100,"Low",
IF(P826&lt;300,"Medium","High"))</f>
        <v>Low</v>
      </c>
    </row>
    <row r="827" spans="1:25" x14ac:dyDescent="0.3">
      <c r="A827">
        <v>835</v>
      </c>
      <c r="B827" s="2">
        <v>40581</v>
      </c>
      <c r="C827">
        <v>1</v>
      </c>
      <c r="D827">
        <v>0</v>
      </c>
      <c r="E827">
        <v>2</v>
      </c>
      <c r="F827">
        <v>5</v>
      </c>
      <c r="G827" t="b">
        <v>0</v>
      </c>
      <c r="H827">
        <v>1</v>
      </c>
      <c r="I827">
        <v>1</v>
      </c>
      <c r="J827">
        <v>0.2</v>
      </c>
      <c r="K827">
        <v>0.2576</v>
      </c>
      <c r="L827">
        <v>0.86</v>
      </c>
      <c r="M827">
        <v>0</v>
      </c>
      <c r="N827">
        <v>1</v>
      </c>
      <c r="O827">
        <v>9</v>
      </c>
      <c r="P827">
        <v>10</v>
      </c>
      <c r="Q827" t="str">
        <f>VLOOKUP(MasterData[[#This Row],[season]],[1]Lookup!$A$2:$B$5,2,FALSE)</f>
        <v>Spring</v>
      </c>
      <c r="R827" t="str">
        <f>TEXT(DATE(2026,E827,1),"mmmm")</f>
        <v>February</v>
      </c>
      <c r="S827" t="str">
        <f>IF(OR(H827=0,H827=6),"Weekend","Weekday")</f>
        <v>Weekday</v>
      </c>
      <c r="T827" s="1" t="str">
        <f>VLOOKUP(I827,[1]Lookup!$D$2:$E$5,2,FALSE)</f>
        <v>Clear</v>
      </c>
      <c r="U827" s="1" t="str">
        <f>IF(F827&lt;6,"Night",
IF(F827&lt;12,"Morning",
IF(F827&lt;17,"Afternoon",
IF(F827&lt;21,"Evening","Night"))))</f>
        <v>Night</v>
      </c>
      <c r="V827" s="1" t="str">
        <f>IF(J827&lt;0.3,"Cold",
IF(J827&lt;0.6,"Pleasant","Hot"))</f>
        <v>Cold</v>
      </c>
      <c r="W827" s="1" t="str">
        <f>IF(L827&lt;0.4,"Low",
IF(L827&lt;0.7,"Medium","High"))</f>
        <v>High</v>
      </c>
      <c r="X827" s="1" t="str">
        <f>IF(M827&lt;0.2,"Low",
IF(M827&lt;0.4,"Medium","High"))</f>
        <v>Low</v>
      </c>
      <c r="Y827" s="1" t="str">
        <f>IF(P827&lt;100,"Low",
IF(P827&lt;300,"Medium","High"))</f>
        <v>Low</v>
      </c>
    </row>
    <row r="828" spans="1:25" x14ac:dyDescent="0.3">
      <c r="A828">
        <v>836</v>
      </c>
      <c r="B828" s="2">
        <v>40581</v>
      </c>
      <c r="C828">
        <v>1</v>
      </c>
      <c r="D828">
        <v>0</v>
      </c>
      <c r="E828">
        <v>2</v>
      </c>
      <c r="F828">
        <v>6</v>
      </c>
      <c r="G828" t="b">
        <v>0</v>
      </c>
      <c r="H828">
        <v>1</v>
      </c>
      <c r="I828">
        <v>1</v>
      </c>
      <c r="J828">
        <v>0.18</v>
      </c>
      <c r="K828">
        <v>0.2424</v>
      </c>
      <c r="L828">
        <v>0.93</v>
      </c>
      <c r="M828">
        <v>0</v>
      </c>
      <c r="N828">
        <v>1</v>
      </c>
      <c r="O828">
        <v>29</v>
      </c>
      <c r="P828">
        <v>30</v>
      </c>
      <c r="Q828" t="str">
        <f>VLOOKUP(MasterData[[#This Row],[season]],[1]Lookup!$A$2:$B$5,2,FALSE)</f>
        <v>Spring</v>
      </c>
      <c r="R828" t="str">
        <f>TEXT(DATE(2026,E828,1),"mmmm")</f>
        <v>February</v>
      </c>
      <c r="S828" t="str">
        <f>IF(OR(H828=0,H828=6),"Weekend","Weekday")</f>
        <v>Weekday</v>
      </c>
      <c r="T828" s="1" t="str">
        <f>VLOOKUP(I828,[1]Lookup!$D$2:$E$5,2,FALSE)</f>
        <v>Clear</v>
      </c>
      <c r="U828" s="1" t="str">
        <f>IF(F828&lt;6,"Night",
IF(F828&lt;12,"Morning",
IF(F828&lt;17,"Afternoon",
IF(F828&lt;21,"Evening","Night"))))</f>
        <v>Morning</v>
      </c>
      <c r="V828" s="1" t="str">
        <f>IF(J828&lt;0.3,"Cold",
IF(J828&lt;0.6,"Pleasant","Hot"))</f>
        <v>Cold</v>
      </c>
      <c r="W828" s="1" t="str">
        <f>IF(L828&lt;0.4,"Low",
IF(L828&lt;0.7,"Medium","High"))</f>
        <v>High</v>
      </c>
      <c r="X828" s="1" t="str">
        <f>IF(M828&lt;0.2,"Low",
IF(M828&lt;0.4,"Medium","High"))</f>
        <v>Low</v>
      </c>
      <c r="Y828" s="1" t="str">
        <f>IF(P828&lt;100,"Low",
IF(P828&lt;300,"Medium","High"))</f>
        <v>Low</v>
      </c>
    </row>
    <row r="829" spans="1:25" x14ac:dyDescent="0.3">
      <c r="A829">
        <v>837</v>
      </c>
      <c r="B829" s="2">
        <v>40581</v>
      </c>
      <c r="C829">
        <v>1</v>
      </c>
      <c r="D829">
        <v>0</v>
      </c>
      <c r="E829">
        <v>2</v>
      </c>
      <c r="F829">
        <v>7</v>
      </c>
      <c r="G829" t="b">
        <v>0</v>
      </c>
      <c r="H829">
        <v>1</v>
      </c>
      <c r="I829">
        <v>1</v>
      </c>
      <c r="J829">
        <v>0.18</v>
      </c>
      <c r="K829">
        <v>0.2424</v>
      </c>
      <c r="L829">
        <v>0.86</v>
      </c>
      <c r="M829">
        <v>0</v>
      </c>
      <c r="N829">
        <v>6</v>
      </c>
      <c r="O829">
        <v>89</v>
      </c>
      <c r="P829">
        <v>95</v>
      </c>
      <c r="Q829" t="str">
        <f>VLOOKUP(MasterData[[#This Row],[season]],[1]Lookup!$A$2:$B$5,2,FALSE)</f>
        <v>Spring</v>
      </c>
      <c r="R829" t="str">
        <f>TEXT(DATE(2026,E829,1),"mmmm")</f>
        <v>February</v>
      </c>
      <c r="S829" t="str">
        <f>IF(OR(H829=0,H829=6),"Weekend","Weekday")</f>
        <v>Weekday</v>
      </c>
      <c r="T829" s="1" t="str">
        <f>VLOOKUP(I829,[1]Lookup!$D$2:$E$5,2,FALSE)</f>
        <v>Clear</v>
      </c>
      <c r="U829" s="1" t="str">
        <f>IF(F829&lt;6,"Night",
IF(F829&lt;12,"Morning",
IF(F829&lt;17,"Afternoon",
IF(F829&lt;21,"Evening","Night"))))</f>
        <v>Morning</v>
      </c>
      <c r="V829" s="1" t="str">
        <f>IF(J829&lt;0.3,"Cold",
IF(J829&lt;0.6,"Pleasant","Hot"))</f>
        <v>Cold</v>
      </c>
      <c r="W829" s="1" t="str">
        <f>IF(L829&lt;0.4,"Low",
IF(L829&lt;0.7,"Medium","High"))</f>
        <v>High</v>
      </c>
      <c r="X829" s="1" t="str">
        <f>IF(M829&lt;0.2,"Low",
IF(M829&lt;0.4,"Medium","High"))</f>
        <v>Low</v>
      </c>
      <c r="Y829" s="1" t="str">
        <f>IF(P829&lt;100,"Low",
IF(P829&lt;300,"Medium","High"))</f>
        <v>Low</v>
      </c>
    </row>
    <row r="830" spans="1:25" x14ac:dyDescent="0.3">
      <c r="A830">
        <v>838</v>
      </c>
      <c r="B830" s="2">
        <v>40581</v>
      </c>
      <c r="C830">
        <v>1</v>
      </c>
      <c r="D830">
        <v>0</v>
      </c>
      <c r="E830">
        <v>2</v>
      </c>
      <c r="F830">
        <v>8</v>
      </c>
      <c r="G830" t="b">
        <v>0</v>
      </c>
      <c r="H830">
        <v>1</v>
      </c>
      <c r="I830">
        <v>2</v>
      </c>
      <c r="J830">
        <v>0.16</v>
      </c>
      <c r="K830">
        <v>0.2273</v>
      </c>
      <c r="L830">
        <v>1</v>
      </c>
      <c r="M830">
        <v>0</v>
      </c>
      <c r="N830">
        <v>7</v>
      </c>
      <c r="O830">
        <v>223</v>
      </c>
      <c r="P830">
        <v>230</v>
      </c>
      <c r="Q830" t="str">
        <f>VLOOKUP(MasterData[[#This Row],[season]],[1]Lookup!$A$2:$B$5,2,FALSE)</f>
        <v>Spring</v>
      </c>
      <c r="R830" t="str">
        <f>TEXT(DATE(2026,E830,1),"mmmm")</f>
        <v>February</v>
      </c>
      <c r="S830" t="str">
        <f>IF(OR(H830=0,H830=6),"Weekend","Weekday")</f>
        <v>Weekday</v>
      </c>
      <c r="T830" s="1" t="str">
        <f>VLOOKUP(I830,[1]Lookup!$D$2:$E$5,2,FALSE)</f>
        <v>Mist / Cloudy</v>
      </c>
      <c r="U830" s="1" t="str">
        <f>IF(F830&lt;6,"Night",
IF(F830&lt;12,"Morning",
IF(F830&lt;17,"Afternoon",
IF(F830&lt;21,"Evening","Night"))))</f>
        <v>Morning</v>
      </c>
      <c r="V830" s="1" t="str">
        <f>IF(J830&lt;0.3,"Cold",
IF(J830&lt;0.6,"Pleasant","Hot"))</f>
        <v>Cold</v>
      </c>
      <c r="W830" s="1" t="str">
        <f>IF(L830&lt;0.4,"Low",
IF(L830&lt;0.7,"Medium","High"))</f>
        <v>High</v>
      </c>
      <c r="X830" s="1" t="str">
        <f>IF(M830&lt;0.2,"Low",
IF(M830&lt;0.4,"Medium","High"))</f>
        <v>Low</v>
      </c>
      <c r="Y830" s="1" t="str">
        <f>IF(P830&lt;100,"Low",
IF(P830&lt;300,"Medium","High"))</f>
        <v>Medium</v>
      </c>
    </row>
    <row r="831" spans="1:25" x14ac:dyDescent="0.3">
      <c r="A831">
        <v>839</v>
      </c>
      <c r="B831" s="2">
        <v>40581</v>
      </c>
      <c r="C831">
        <v>1</v>
      </c>
      <c r="D831">
        <v>0</v>
      </c>
      <c r="E831">
        <v>2</v>
      </c>
      <c r="F831">
        <v>9</v>
      </c>
      <c r="G831" t="b">
        <v>0</v>
      </c>
      <c r="H831">
        <v>1</v>
      </c>
      <c r="I831">
        <v>1</v>
      </c>
      <c r="J831">
        <v>0.22</v>
      </c>
      <c r="K831">
        <v>0.2727</v>
      </c>
      <c r="L831">
        <v>0.8</v>
      </c>
      <c r="M831">
        <v>0</v>
      </c>
      <c r="N831">
        <v>3</v>
      </c>
      <c r="O831">
        <v>115</v>
      </c>
      <c r="P831">
        <v>118</v>
      </c>
      <c r="Q831" t="str">
        <f>VLOOKUP(MasterData[[#This Row],[season]],[1]Lookup!$A$2:$B$5,2,FALSE)</f>
        <v>Spring</v>
      </c>
      <c r="R831" t="str">
        <f>TEXT(DATE(2026,E831,1),"mmmm")</f>
        <v>February</v>
      </c>
      <c r="S831" t="str">
        <f>IF(OR(H831=0,H831=6),"Weekend","Weekday")</f>
        <v>Weekday</v>
      </c>
      <c r="T831" s="1" t="str">
        <f>VLOOKUP(I831,[1]Lookup!$D$2:$E$5,2,FALSE)</f>
        <v>Clear</v>
      </c>
      <c r="U831" s="1" t="str">
        <f>IF(F831&lt;6,"Night",
IF(F831&lt;12,"Morning",
IF(F831&lt;17,"Afternoon",
IF(F831&lt;21,"Evening","Night"))))</f>
        <v>Morning</v>
      </c>
      <c r="V831" s="1" t="str">
        <f>IF(J831&lt;0.3,"Cold",
IF(J831&lt;0.6,"Pleasant","Hot"))</f>
        <v>Cold</v>
      </c>
      <c r="W831" s="1" t="str">
        <f>IF(L831&lt;0.4,"Low",
IF(L831&lt;0.7,"Medium","High"))</f>
        <v>High</v>
      </c>
      <c r="X831" s="1" t="str">
        <f>IF(M831&lt;0.2,"Low",
IF(M831&lt;0.4,"Medium","High"))</f>
        <v>Low</v>
      </c>
      <c r="Y831" s="1" t="str">
        <f>IF(P831&lt;100,"Low",
IF(P831&lt;300,"Medium","High"))</f>
        <v>Medium</v>
      </c>
    </row>
    <row r="832" spans="1:25" x14ac:dyDescent="0.3">
      <c r="A832">
        <v>840</v>
      </c>
      <c r="B832" s="2">
        <v>40581</v>
      </c>
      <c r="C832">
        <v>1</v>
      </c>
      <c r="D832">
        <v>0</v>
      </c>
      <c r="E832">
        <v>2</v>
      </c>
      <c r="F832">
        <v>10</v>
      </c>
      <c r="G832" t="b">
        <v>0</v>
      </c>
      <c r="H832">
        <v>1</v>
      </c>
      <c r="I832">
        <v>1</v>
      </c>
      <c r="J832">
        <v>0.24</v>
      </c>
      <c r="K832">
        <v>0.2576</v>
      </c>
      <c r="L832">
        <v>0.75</v>
      </c>
      <c r="M832">
        <v>0.1045</v>
      </c>
      <c r="N832">
        <v>6</v>
      </c>
      <c r="O832">
        <v>49</v>
      </c>
      <c r="P832">
        <v>55</v>
      </c>
      <c r="Q832" t="str">
        <f>VLOOKUP(MasterData[[#This Row],[season]],[1]Lookup!$A$2:$B$5,2,FALSE)</f>
        <v>Spring</v>
      </c>
      <c r="R832" t="str">
        <f>TEXT(DATE(2026,E832,1),"mmmm")</f>
        <v>February</v>
      </c>
      <c r="S832" t="str">
        <f>IF(OR(H832=0,H832=6),"Weekend","Weekday")</f>
        <v>Weekday</v>
      </c>
      <c r="T832" s="1" t="str">
        <f>VLOOKUP(I832,[1]Lookup!$D$2:$E$5,2,FALSE)</f>
        <v>Clear</v>
      </c>
      <c r="U832" s="1" t="str">
        <f>IF(F832&lt;6,"Night",
IF(F832&lt;12,"Morning",
IF(F832&lt;17,"Afternoon",
IF(F832&lt;21,"Evening","Night"))))</f>
        <v>Morning</v>
      </c>
      <c r="V832" s="1" t="str">
        <f>IF(J832&lt;0.3,"Cold",
IF(J832&lt;0.6,"Pleasant","Hot"))</f>
        <v>Cold</v>
      </c>
      <c r="W832" s="1" t="str">
        <f>IF(L832&lt;0.4,"Low",
IF(L832&lt;0.7,"Medium","High"))</f>
        <v>High</v>
      </c>
      <c r="X832" s="1" t="str">
        <f>IF(M832&lt;0.2,"Low",
IF(M832&lt;0.4,"Medium","High"))</f>
        <v>Low</v>
      </c>
      <c r="Y832" s="1" t="str">
        <f>IF(P832&lt;100,"Low",
IF(P832&lt;300,"Medium","High"))</f>
        <v>Low</v>
      </c>
    </row>
    <row r="833" spans="1:25" x14ac:dyDescent="0.3">
      <c r="A833">
        <v>841</v>
      </c>
      <c r="B833" s="2">
        <v>40581</v>
      </c>
      <c r="C833">
        <v>1</v>
      </c>
      <c r="D833">
        <v>0</v>
      </c>
      <c r="E833">
        <v>2</v>
      </c>
      <c r="F833">
        <v>11</v>
      </c>
      <c r="G833" t="b">
        <v>0</v>
      </c>
      <c r="H833">
        <v>1</v>
      </c>
      <c r="I833">
        <v>1</v>
      </c>
      <c r="J833">
        <v>0.3</v>
      </c>
      <c r="K833">
        <v>0.31819999999999998</v>
      </c>
      <c r="L833">
        <v>0.65</v>
      </c>
      <c r="M833">
        <v>8.9599999999999999E-2</v>
      </c>
      <c r="N833">
        <v>11</v>
      </c>
      <c r="O833">
        <v>36</v>
      </c>
      <c r="P833">
        <v>47</v>
      </c>
      <c r="Q833" t="str">
        <f>VLOOKUP(MasterData[[#This Row],[season]],[1]Lookup!$A$2:$B$5,2,FALSE)</f>
        <v>Spring</v>
      </c>
      <c r="R833" t="str">
        <f>TEXT(DATE(2026,E833,1),"mmmm")</f>
        <v>February</v>
      </c>
      <c r="S833" t="str">
        <f>IF(OR(H833=0,H833=6),"Weekend","Weekday")</f>
        <v>Weekday</v>
      </c>
      <c r="T833" s="1" t="str">
        <f>VLOOKUP(I833,[1]Lookup!$D$2:$E$5,2,FALSE)</f>
        <v>Clear</v>
      </c>
      <c r="U833" s="1" t="str">
        <f>IF(F833&lt;6,"Night",
IF(F833&lt;12,"Morning",
IF(F833&lt;17,"Afternoon",
IF(F833&lt;21,"Evening","Night"))))</f>
        <v>Morning</v>
      </c>
      <c r="V833" s="1" t="str">
        <f>IF(J833&lt;0.3,"Cold",
IF(J833&lt;0.6,"Pleasant","Hot"))</f>
        <v>Pleasant</v>
      </c>
      <c r="W833" s="1" t="str">
        <f>IF(L833&lt;0.4,"Low",
IF(L833&lt;0.7,"Medium","High"))</f>
        <v>Medium</v>
      </c>
      <c r="X833" s="1" t="str">
        <f>IF(M833&lt;0.2,"Low",
IF(M833&lt;0.4,"Medium","High"))</f>
        <v>Low</v>
      </c>
      <c r="Y833" s="1" t="str">
        <f>IF(P833&lt;100,"Low",
IF(P833&lt;300,"Medium","High"))</f>
        <v>Low</v>
      </c>
    </row>
    <row r="834" spans="1:25" x14ac:dyDescent="0.3">
      <c r="A834">
        <v>842</v>
      </c>
      <c r="B834" s="2">
        <v>40581</v>
      </c>
      <c r="C834">
        <v>1</v>
      </c>
      <c r="D834">
        <v>0</v>
      </c>
      <c r="E834">
        <v>2</v>
      </c>
      <c r="F834">
        <v>12</v>
      </c>
      <c r="G834" t="b">
        <v>0</v>
      </c>
      <c r="H834">
        <v>1</v>
      </c>
      <c r="I834">
        <v>2</v>
      </c>
      <c r="J834">
        <v>0.32</v>
      </c>
      <c r="K834">
        <v>0.34849999999999998</v>
      </c>
      <c r="L834">
        <v>0.62</v>
      </c>
      <c r="M834">
        <v>0</v>
      </c>
      <c r="N834">
        <v>7</v>
      </c>
      <c r="O834">
        <v>59</v>
      </c>
      <c r="P834">
        <v>66</v>
      </c>
      <c r="Q834" t="str">
        <f>VLOOKUP(MasterData[[#This Row],[season]],[1]Lookup!$A$2:$B$5,2,FALSE)</f>
        <v>Spring</v>
      </c>
      <c r="R834" t="str">
        <f>TEXT(DATE(2026,E834,1),"mmmm")</f>
        <v>February</v>
      </c>
      <c r="S834" t="str">
        <f>IF(OR(H834=0,H834=6),"Weekend","Weekday")</f>
        <v>Weekday</v>
      </c>
      <c r="T834" s="1" t="str">
        <f>VLOOKUP(I834,[1]Lookup!$D$2:$E$5,2,FALSE)</f>
        <v>Mist / Cloudy</v>
      </c>
      <c r="U834" s="1" t="str">
        <f>IF(F834&lt;6,"Night",
IF(F834&lt;12,"Morning",
IF(F834&lt;17,"Afternoon",
IF(F834&lt;21,"Evening","Night"))))</f>
        <v>Afternoon</v>
      </c>
      <c r="V834" s="1" t="str">
        <f>IF(J834&lt;0.3,"Cold",
IF(J834&lt;0.6,"Pleasant","Hot"))</f>
        <v>Pleasant</v>
      </c>
      <c r="W834" s="1" t="str">
        <f>IF(L834&lt;0.4,"Low",
IF(L834&lt;0.7,"Medium","High"))</f>
        <v>Medium</v>
      </c>
      <c r="X834" s="1" t="str">
        <f>IF(M834&lt;0.2,"Low",
IF(M834&lt;0.4,"Medium","High"))</f>
        <v>Low</v>
      </c>
      <c r="Y834" s="1" t="str">
        <f>IF(P834&lt;100,"Low",
IF(P834&lt;300,"Medium","High"))</f>
        <v>Low</v>
      </c>
    </row>
    <row r="835" spans="1:25" x14ac:dyDescent="0.3">
      <c r="A835">
        <v>843</v>
      </c>
      <c r="B835" s="2">
        <v>40581</v>
      </c>
      <c r="C835">
        <v>1</v>
      </c>
      <c r="D835">
        <v>0</v>
      </c>
      <c r="E835">
        <v>2</v>
      </c>
      <c r="F835">
        <v>13</v>
      </c>
      <c r="G835" t="b">
        <v>0</v>
      </c>
      <c r="H835">
        <v>1</v>
      </c>
      <c r="I835">
        <v>2</v>
      </c>
      <c r="J835">
        <v>0.36</v>
      </c>
      <c r="K835">
        <v>0.36359999999999998</v>
      </c>
      <c r="L835">
        <v>0.56999999999999995</v>
      </c>
      <c r="M835">
        <v>8.9599999999999999E-2</v>
      </c>
      <c r="N835">
        <v>10</v>
      </c>
      <c r="O835">
        <v>54</v>
      </c>
      <c r="P835">
        <v>64</v>
      </c>
      <c r="Q835" t="str">
        <f>VLOOKUP(MasterData[[#This Row],[season]],[1]Lookup!$A$2:$B$5,2,FALSE)</f>
        <v>Spring</v>
      </c>
      <c r="R835" t="str">
        <f>TEXT(DATE(2026,E835,1),"mmmm")</f>
        <v>February</v>
      </c>
      <c r="S835" t="str">
        <f>IF(OR(H835=0,H835=6),"Weekend","Weekday")</f>
        <v>Weekday</v>
      </c>
      <c r="T835" s="1" t="str">
        <f>VLOOKUP(I835,[1]Lookup!$D$2:$E$5,2,FALSE)</f>
        <v>Mist / Cloudy</v>
      </c>
      <c r="U835" s="1" t="str">
        <f>IF(F835&lt;6,"Night",
IF(F835&lt;12,"Morning",
IF(F835&lt;17,"Afternoon",
IF(F835&lt;21,"Evening","Night"))))</f>
        <v>Afternoon</v>
      </c>
      <c r="V835" s="1" t="str">
        <f>IF(J835&lt;0.3,"Cold",
IF(J835&lt;0.6,"Pleasant","Hot"))</f>
        <v>Pleasant</v>
      </c>
      <c r="W835" s="1" t="str">
        <f>IF(L835&lt;0.4,"Low",
IF(L835&lt;0.7,"Medium","High"))</f>
        <v>Medium</v>
      </c>
      <c r="X835" s="1" t="str">
        <f>IF(M835&lt;0.2,"Low",
IF(M835&lt;0.4,"Medium","High"))</f>
        <v>Low</v>
      </c>
      <c r="Y835" s="1" t="str">
        <f>IF(P835&lt;100,"Low",
IF(P835&lt;300,"Medium","High"))</f>
        <v>Low</v>
      </c>
    </row>
    <row r="836" spans="1:25" x14ac:dyDescent="0.3">
      <c r="A836">
        <v>844</v>
      </c>
      <c r="B836" s="2">
        <v>40581</v>
      </c>
      <c r="C836">
        <v>1</v>
      </c>
      <c r="D836">
        <v>0</v>
      </c>
      <c r="E836">
        <v>2</v>
      </c>
      <c r="F836">
        <v>14</v>
      </c>
      <c r="G836" t="b">
        <v>0</v>
      </c>
      <c r="H836">
        <v>1</v>
      </c>
      <c r="I836">
        <v>2</v>
      </c>
      <c r="J836">
        <v>0.36</v>
      </c>
      <c r="K836">
        <v>0.36359999999999998</v>
      </c>
      <c r="L836">
        <v>0.56999999999999995</v>
      </c>
      <c r="M836">
        <v>8.9599999999999999E-2</v>
      </c>
      <c r="N836">
        <v>8</v>
      </c>
      <c r="O836">
        <v>52</v>
      </c>
      <c r="P836">
        <v>60</v>
      </c>
      <c r="Q836" t="str">
        <f>VLOOKUP(MasterData[[#This Row],[season]],[1]Lookup!$A$2:$B$5,2,FALSE)</f>
        <v>Spring</v>
      </c>
      <c r="R836" t="str">
        <f>TEXT(DATE(2026,E836,1),"mmmm")</f>
        <v>February</v>
      </c>
      <c r="S836" t="str">
        <f>IF(OR(H836=0,H836=6),"Weekend","Weekday")</f>
        <v>Weekday</v>
      </c>
      <c r="T836" s="1" t="str">
        <f>VLOOKUP(I836,[1]Lookup!$D$2:$E$5,2,FALSE)</f>
        <v>Mist / Cloudy</v>
      </c>
      <c r="U836" s="1" t="str">
        <f>IF(F836&lt;6,"Night",
IF(F836&lt;12,"Morning",
IF(F836&lt;17,"Afternoon",
IF(F836&lt;21,"Evening","Night"))))</f>
        <v>Afternoon</v>
      </c>
      <c r="V836" s="1" t="str">
        <f>IF(J836&lt;0.3,"Cold",
IF(J836&lt;0.6,"Pleasant","Hot"))</f>
        <v>Pleasant</v>
      </c>
      <c r="W836" s="1" t="str">
        <f>IF(L836&lt;0.4,"Low",
IF(L836&lt;0.7,"Medium","High"))</f>
        <v>Medium</v>
      </c>
      <c r="X836" s="1" t="str">
        <f>IF(M836&lt;0.2,"Low",
IF(M836&lt;0.4,"Medium","High"))</f>
        <v>Low</v>
      </c>
      <c r="Y836" s="1" t="str">
        <f>IF(P836&lt;100,"Low",
IF(P836&lt;300,"Medium","High"))</f>
        <v>Low</v>
      </c>
    </row>
    <row r="837" spans="1:25" x14ac:dyDescent="0.3">
      <c r="A837">
        <v>845</v>
      </c>
      <c r="B837" s="2">
        <v>40581</v>
      </c>
      <c r="C837">
        <v>1</v>
      </c>
      <c r="D837">
        <v>0</v>
      </c>
      <c r="E837">
        <v>2</v>
      </c>
      <c r="F837">
        <v>15</v>
      </c>
      <c r="G837" t="b">
        <v>0</v>
      </c>
      <c r="H837">
        <v>1</v>
      </c>
      <c r="I837">
        <v>2</v>
      </c>
      <c r="J837">
        <v>0.38</v>
      </c>
      <c r="K837">
        <v>0.39389999999999997</v>
      </c>
      <c r="L837">
        <v>0.54</v>
      </c>
      <c r="M837">
        <v>8.9599999999999999E-2</v>
      </c>
      <c r="N837">
        <v>4</v>
      </c>
      <c r="O837">
        <v>46</v>
      </c>
      <c r="P837">
        <v>50</v>
      </c>
      <c r="Q837" t="str">
        <f>VLOOKUP(MasterData[[#This Row],[season]],[1]Lookup!$A$2:$B$5,2,FALSE)</f>
        <v>Spring</v>
      </c>
      <c r="R837" t="str">
        <f>TEXT(DATE(2026,E837,1),"mmmm")</f>
        <v>February</v>
      </c>
      <c r="S837" t="str">
        <f>IF(OR(H837=0,H837=6),"Weekend","Weekday")</f>
        <v>Weekday</v>
      </c>
      <c r="T837" s="1" t="str">
        <f>VLOOKUP(I837,[1]Lookup!$D$2:$E$5,2,FALSE)</f>
        <v>Mist / Cloudy</v>
      </c>
      <c r="U837" s="1" t="str">
        <f>IF(F837&lt;6,"Night",
IF(F837&lt;12,"Morning",
IF(F837&lt;17,"Afternoon",
IF(F837&lt;21,"Evening","Night"))))</f>
        <v>Afternoon</v>
      </c>
      <c r="V837" s="1" t="str">
        <f>IF(J837&lt;0.3,"Cold",
IF(J837&lt;0.6,"Pleasant","Hot"))</f>
        <v>Pleasant</v>
      </c>
      <c r="W837" s="1" t="str">
        <f>IF(L837&lt;0.4,"Low",
IF(L837&lt;0.7,"Medium","High"))</f>
        <v>Medium</v>
      </c>
      <c r="X837" s="1" t="str">
        <f>IF(M837&lt;0.2,"Low",
IF(M837&lt;0.4,"Medium","High"))</f>
        <v>Low</v>
      </c>
      <c r="Y837" s="1" t="str">
        <f>IF(P837&lt;100,"Low",
IF(P837&lt;300,"Medium","High"))</f>
        <v>Low</v>
      </c>
    </row>
    <row r="838" spans="1:25" x14ac:dyDescent="0.3">
      <c r="A838">
        <v>846</v>
      </c>
      <c r="B838" s="2">
        <v>40581</v>
      </c>
      <c r="C838">
        <v>1</v>
      </c>
      <c r="D838">
        <v>0</v>
      </c>
      <c r="E838">
        <v>2</v>
      </c>
      <c r="F838">
        <v>16</v>
      </c>
      <c r="G838" t="b">
        <v>0</v>
      </c>
      <c r="H838">
        <v>1</v>
      </c>
      <c r="I838">
        <v>2</v>
      </c>
      <c r="J838">
        <v>0.36</v>
      </c>
      <c r="K838">
        <v>0.34849999999999998</v>
      </c>
      <c r="L838">
        <v>0.56999999999999995</v>
      </c>
      <c r="M838">
        <v>0.1343</v>
      </c>
      <c r="N838">
        <v>16</v>
      </c>
      <c r="O838">
        <v>98</v>
      </c>
      <c r="P838">
        <v>114</v>
      </c>
      <c r="Q838" t="str">
        <f>VLOOKUP(MasterData[[#This Row],[season]],[1]Lookup!$A$2:$B$5,2,FALSE)</f>
        <v>Spring</v>
      </c>
      <c r="R838" t="str">
        <f>TEXT(DATE(2026,E838,1),"mmmm")</f>
        <v>February</v>
      </c>
      <c r="S838" t="str">
        <f>IF(OR(H838=0,H838=6),"Weekend","Weekday")</f>
        <v>Weekday</v>
      </c>
      <c r="T838" s="1" t="str">
        <f>VLOOKUP(I838,[1]Lookup!$D$2:$E$5,2,FALSE)</f>
        <v>Mist / Cloudy</v>
      </c>
      <c r="U838" s="1" t="str">
        <f>IF(F838&lt;6,"Night",
IF(F838&lt;12,"Morning",
IF(F838&lt;17,"Afternoon",
IF(F838&lt;21,"Evening","Night"))))</f>
        <v>Afternoon</v>
      </c>
      <c r="V838" s="1" t="str">
        <f>IF(J838&lt;0.3,"Cold",
IF(J838&lt;0.6,"Pleasant","Hot"))</f>
        <v>Pleasant</v>
      </c>
      <c r="W838" s="1" t="str">
        <f>IF(L838&lt;0.4,"Low",
IF(L838&lt;0.7,"Medium","High"))</f>
        <v>Medium</v>
      </c>
      <c r="X838" s="1" t="str">
        <f>IF(M838&lt;0.2,"Low",
IF(M838&lt;0.4,"Medium","High"))</f>
        <v>Low</v>
      </c>
      <c r="Y838" s="1" t="str">
        <f>IF(P838&lt;100,"Low",
IF(P838&lt;300,"Medium","High"))</f>
        <v>Medium</v>
      </c>
    </row>
    <row r="839" spans="1:25" x14ac:dyDescent="0.3">
      <c r="A839">
        <v>847</v>
      </c>
      <c r="B839" s="2">
        <v>40581</v>
      </c>
      <c r="C839">
        <v>1</v>
      </c>
      <c r="D839">
        <v>0</v>
      </c>
      <c r="E839">
        <v>2</v>
      </c>
      <c r="F839">
        <v>17</v>
      </c>
      <c r="G839" t="b">
        <v>0</v>
      </c>
      <c r="H839">
        <v>1</v>
      </c>
      <c r="I839">
        <v>2</v>
      </c>
      <c r="J839">
        <v>0.32</v>
      </c>
      <c r="K839">
        <v>0.31819999999999998</v>
      </c>
      <c r="L839">
        <v>0.7</v>
      </c>
      <c r="M839">
        <v>0.16420000000000001</v>
      </c>
      <c r="N839">
        <v>9</v>
      </c>
      <c r="O839">
        <v>207</v>
      </c>
      <c r="P839">
        <v>216</v>
      </c>
      <c r="Q839" t="str">
        <f>VLOOKUP(MasterData[[#This Row],[season]],[1]Lookup!$A$2:$B$5,2,FALSE)</f>
        <v>Spring</v>
      </c>
      <c r="R839" t="str">
        <f>TEXT(DATE(2026,E839,1),"mmmm")</f>
        <v>February</v>
      </c>
      <c r="S839" t="str">
        <f>IF(OR(H839=0,H839=6),"Weekend","Weekday")</f>
        <v>Weekday</v>
      </c>
      <c r="T839" s="1" t="str">
        <f>VLOOKUP(I839,[1]Lookup!$D$2:$E$5,2,FALSE)</f>
        <v>Mist / Cloudy</v>
      </c>
      <c r="U839" s="1" t="str">
        <f>IF(F839&lt;6,"Night",
IF(F839&lt;12,"Morning",
IF(F839&lt;17,"Afternoon",
IF(F839&lt;21,"Evening","Night"))))</f>
        <v>Evening</v>
      </c>
      <c r="V839" s="1" t="str">
        <f>IF(J839&lt;0.3,"Cold",
IF(J839&lt;0.6,"Pleasant","Hot"))</f>
        <v>Pleasant</v>
      </c>
      <c r="W839" s="1" t="str">
        <f>IF(L839&lt;0.4,"Low",
IF(L839&lt;0.7,"Medium","High"))</f>
        <v>High</v>
      </c>
      <c r="X839" s="1" t="str">
        <f>IF(M839&lt;0.2,"Low",
IF(M839&lt;0.4,"Medium","High"))</f>
        <v>Low</v>
      </c>
      <c r="Y839" s="1" t="str">
        <f>IF(P839&lt;100,"Low",
IF(P839&lt;300,"Medium","High"))</f>
        <v>Medium</v>
      </c>
    </row>
    <row r="840" spans="1:25" x14ac:dyDescent="0.3">
      <c r="A840">
        <v>848</v>
      </c>
      <c r="B840" s="2">
        <v>40581</v>
      </c>
      <c r="C840">
        <v>1</v>
      </c>
      <c r="D840">
        <v>0</v>
      </c>
      <c r="E840">
        <v>2</v>
      </c>
      <c r="F840">
        <v>18</v>
      </c>
      <c r="G840" t="b">
        <v>0</v>
      </c>
      <c r="H840">
        <v>1</v>
      </c>
      <c r="I840">
        <v>2</v>
      </c>
      <c r="J840">
        <v>0.34</v>
      </c>
      <c r="K840">
        <v>0.33329999999999999</v>
      </c>
      <c r="L840">
        <v>0.66</v>
      </c>
      <c r="M840">
        <v>0.1343</v>
      </c>
      <c r="N840">
        <v>5</v>
      </c>
      <c r="O840">
        <v>170</v>
      </c>
      <c r="P840">
        <v>175</v>
      </c>
      <c r="Q840" t="str">
        <f>VLOOKUP(MasterData[[#This Row],[season]],[1]Lookup!$A$2:$B$5,2,FALSE)</f>
        <v>Spring</v>
      </c>
      <c r="R840" t="str">
        <f>TEXT(DATE(2026,E840,1),"mmmm")</f>
        <v>February</v>
      </c>
      <c r="S840" t="str">
        <f>IF(OR(H840=0,H840=6),"Weekend","Weekday")</f>
        <v>Weekday</v>
      </c>
      <c r="T840" s="1" t="str">
        <f>VLOOKUP(I840,[1]Lookup!$D$2:$E$5,2,FALSE)</f>
        <v>Mist / Cloudy</v>
      </c>
      <c r="U840" s="1" t="str">
        <f>IF(F840&lt;6,"Night",
IF(F840&lt;12,"Morning",
IF(F840&lt;17,"Afternoon",
IF(F840&lt;21,"Evening","Night"))))</f>
        <v>Evening</v>
      </c>
      <c r="V840" s="1" t="str">
        <f>IF(J840&lt;0.3,"Cold",
IF(J840&lt;0.6,"Pleasant","Hot"))</f>
        <v>Pleasant</v>
      </c>
      <c r="W840" s="1" t="str">
        <f>IF(L840&lt;0.4,"Low",
IF(L840&lt;0.7,"Medium","High"))</f>
        <v>Medium</v>
      </c>
      <c r="X840" s="1" t="str">
        <f>IF(M840&lt;0.2,"Low",
IF(M840&lt;0.4,"Medium","High"))</f>
        <v>Low</v>
      </c>
      <c r="Y840" s="1" t="str">
        <f>IF(P840&lt;100,"Low",
IF(P840&lt;300,"Medium","High"))</f>
        <v>Medium</v>
      </c>
    </row>
    <row r="841" spans="1:25" x14ac:dyDescent="0.3">
      <c r="A841">
        <v>849</v>
      </c>
      <c r="B841" s="2">
        <v>40581</v>
      </c>
      <c r="C841">
        <v>1</v>
      </c>
      <c r="D841">
        <v>0</v>
      </c>
      <c r="E841">
        <v>2</v>
      </c>
      <c r="F841">
        <v>19</v>
      </c>
      <c r="G841" t="b">
        <v>0</v>
      </c>
      <c r="H841">
        <v>1</v>
      </c>
      <c r="I841">
        <v>2</v>
      </c>
      <c r="J841">
        <v>0.32</v>
      </c>
      <c r="K841">
        <v>0.34849999999999998</v>
      </c>
      <c r="L841">
        <v>0.7</v>
      </c>
      <c r="M841">
        <v>0</v>
      </c>
      <c r="N841">
        <v>5</v>
      </c>
      <c r="O841">
        <v>123</v>
      </c>
      <c r="P841">
        <v>128</v>
      </c>
      <c r="Q841" t="str">
        <f>VLOOKUP(MasterData[[#This Row],[season]],[1]Lookup!$A$2:$B$5,2,FALSE)</f>
        <v>Spring</v>
      </c>
      <c r="R841" t="str">
        <f>TEXT(DATE(2026,E841,1),"mmmm")</f>
        <v>February</v>
      </c>
      <c r="S841" t="str">
        <f>IF(OR(H841=0,H841=6),"Weekend","Weekday")</f>
        <v>Weekday</v>
      </c>
      <c r="T841" s="1" t="str">
        <f>VLOOKUP(I841,[1]Lookup!$D$2:$E$5,2,FALSE)</f>
        <v>Mist / Cloudy</v>
      </c>
      <c r="U841" s="1" t="str">
        <f>IF(F841&lt;6,"Night",
IF(F841&lt;12,"Morning",
IF(F841&lt;17,"Afternoon",
IF(F841&lt;21,"Evening","Night"))))</f>
        <v>Evening</v>
      </c>
      <c r="V841" s="1" t="str">
        <f>IF(J841&lt;0.3,"Cold",
IF(J841&lt;0.6,"Pleasant","Hot"))</f>
        <v>Pleasant</v>
      </c>
      <c r="W841" s="1" t="str">
        <f>IF(L841&lt;0.4,"Low",
IF(L841&lt;0.7,"Medium","High"))</f>
        <v>High</v>
      </c>
      <c r="X841" s="1" t="str">
        <f>IF(M841&lt;0.2,"Low",
IF(M841&lt;0.4,"Medium","High"))</f>
        <v>Low</v>
      </c>
      <c r="Y841" s="1" t="str">
        <f>IF(P841&lt;100,"Low",
IF(P841&lt;300,"Medium","High"))</f>
        <v>Medium</v>
      </c>
    </row>
    <row r="842" spans="1:25" x14ac:dyDescent="0.3">
      <c r="A842">
        <v>850</v>
      </c>
      <c r="B842" s="2">
        <v>40581</v>
      </c>
      <c r="C842">
        <v>1</v>
      </c>
      <c r="D842">
        <v>0</v>
      </c>
      <c r="E842">
        <v>2</v>
      </c>
      <c r="F842">
        <v>20</v>
      </c>
      <c r="G842" t="b">
        <v>0</v>
      </c>
      <c r="H842">
        <v>1</v>
      </c>
      <c r="I842">
        <v>2</v>
      </c>
      <c r="J842">
        <v>0.32</v>
      </c>
      <c r="K842">
        <v>0.33329999999999999</v>
      </c>
      <c r="L842">
        <v>0.7</v>
      </c>
      <c r="M842">
        <v>0.1045</v>
      </c>
      <c r="N842">
        <v>6</v>
      </c>
      <c r="O842">
        <v>82</v>
      </c>
      <c r="P842">
        <v>88</v>
      </c>
      <c r="Q842" t="str">
        <f>VLOOKUP(MasterData[[#This Row],[season]],[1]Lookup!$A$2:$B$5,2,FALSE)</f>
        <v>Spring</v>
      </c>
      <c r="R842" t="str">
        <f>TEXT(DATE(2026,E842,1),"mmmm")</f>
        <v>February</v>
      </c>
      <c r="S842" t="str">
        <f>IF(OR(H842=0,H842=6),"Weekend","Weekday")</f>
        <v>Weekday</v>
      </c>
      <c r="T842" s="1" t="str">
        <f>VLOOKUP(I842,[1]Lookup!$D$2:$E$5,2,FALSE)</f>
        <v>Mist / Cloudy</v>
      </c>
      <c r="U842" s="1" t="str">
        <f>IF(F842&lt;6,"Night",
IF(F842&lt;12,"Morning",
IF(F842&lt;17,"Afternoon",
IF(F842&lt;21,"Evening","Night"))))</f>
        <v>Evening</v>
      </c>
      <c r="V842" s="1" t="str">
        <f>IF(J842&lt;0.3,"Cold",
IF(J842&lt;0.6,"Pleasant","Hot"))</f>
        <v>Pleasant</v>
      </c>
      <c r="W842" s="1" t="str">
        <f>IF(L842&lt;0.4,"Low",
IF(L842&lt;0.7,"Medium","High"))</f>
        <v>High</v>
      </c>
      <c r="X842" s="1" t="str">
        <f>IF(M842&lt;0.2,"Low",
IF(M842&lt;0.4,"Medium","High"))</f>
        <v>Low</v>
      </c>
      <c r="Y842" s="1" t="str">
        <f>IF(P842&lt;100,"Low",
IF(P842&lt;300,"Medium","High"))</f>
        <v>Low</v>
      </c>
    </row>
    <row r="843" spans="1:25" x14ac:dyDescent="0.3">
      <c r="A843">
        <v>851</v>
      </c>
      <c r="B843" s="2">
        <v>40581</v>
      </c>
      <c r="C843">
        <v>1</v>
      </c>
      <c r="D843">
        <v>0</v>
      </c>
      <c r="E843">
        <v>2</v>
      </c>
      <c r="F843">
        <v>21</v>
      </c>
      <c r="G843" t="b">
        <v>0</v>
      </c>
      <c r="H843">
        <v>1</v>
      </c>
      <c r="I843">
        <v>1</v>
      </c>
      <c r="J843">
        <v>0.32</v>
      </c>
      <c r="K843">
        <v>0.34849999999999998</v>
      </c>
      <c r="L843">
        <v>0.7</v>
      </c>
      <c r="M843">
        <v>0</v>
      </c>
      <c r="N843">
        <v>3</v>
      </c>
      <c r="O843">
        <v>75</v>
      </c>
      <c r="P843">
        <v>78</v>
      </c>
      <c r="Q843" t="str">
        <f>VLOOKUP(MasterData[[#This Row],[season]],[1]Lookup!$A$2:$B$5,2,FALSE)</f>
        <v>Spring</v>
      </c>
      <c r="R843" t="str">
        <f>TEXT(DATE(2026,E843,1),"mmmm")</f>
        <v>February</v>
      </c>
      <c r="S843" t="str">
        <f>IF(OR(H843=0,H843=6),"Weekend","Weekday")</f>
        <v>Weekday</v>
      </c>
      <c r="T843" s="1" t="str">
        <f>VLOOKUP(I843,[1]Lookup!$D$2:$E$5,2,FALSE)</f>
        <v>Clear</v>
      </c>
      <c r="U843" s="1" t="str">
        <f>IF(F843&lt;6,"Night",
IF(F843&lt;12,"Morning",
IF(F843&lt;17,"Afternoon",
IF(F843&lt;21,"Evening","Night"))))</f>
        <v>Night</v>
      </c>
      <c r="V843" s="1" t="str">
        <f>IF(J843&lt;0.3,"Cold",
IF(J843&lt;0.6,"Pleasant","Hot"))</f>
        <v>Pleasant</v>
      </c>
      <c r="W843" s="1" t="str">
        <f>IF(L843&lt;0.4,"Low",
IF(L843&lt;0.7,"Medium","High"))</f>
        <v>High</v>
      </c>
      <c r="X843" s="1" t="str">
        <f>IF(M843&lt;0.2,"Low",
IF(M843&lt;0.4,"Medium","High"))</f>
        <v>Low</v>
      </c>
      <c r="Y843" s="1" t="str">
        <f>IF(P843&lt;100,"Low",
IF(P843&lt;300,"Medium","High"))</f>
        <v>Low</v>
      </c>
    </row>
    <row r="844" spans="1:25" x14ac:dyDescent="0.3">
      <c r="A844">
        <v>852</v>
      </c>
      <c r="B844" s="2">
        <v>40581</v>
      </c>
      <c r="C844">
        <v>1</v>
      </c>
      <c r="D844">
        <v>0</v>
      </c>
      <c r="E844">
        <v>2</v>
      </c>
      <c r="F844">
        <v>22</v>
      </c>
      <c r="G844" t="b">
        <v>0</v>
      </c>
      <c r="H844">
        <v>1</v>
      </c>
      <c r="I844">
        <v>1</v>
      </c>
      <c r="J844">
        <v>0.28000000000000003</v>
      </c>
      <c r="K844">
        <v>0.30299999999999999</v>
      </c>
      <c r="L844">
        <v>0.81</v>
      </c>
      <c r="M844">
        <v>8.9599999999999999E-2</v>
      </c>
      <c r="N844">
        <v>3</v>
      </c>
      <c r="O844">
        <v>34</v>
      </c>
      <c r="P844">
        <v>37</v>
      </c>
      <c r="Q844" t="str">
        <f>VLOOKUP(MasterData[[#This Row],[season]],[1]Lookup!$A$2:$B$5,2,FALSE)</f>
        <v>Spring</v>
      </c>
      <c r="R844" t="str">
        <f>TEXT(DATE(2026,E844,1),"mmmm")</f>
        <v>February</v>
      </c>
      <c r="S844" t="str">
        <f>IF(OR(H844=0,H844=6),"Weekend","Weekday")</f>
        <v>Weekday</v>
      </c>
      <c r="T844" s="1" t="str">
        <f>VLOOKUP(I844,[1]Lookup!$D$2:$E$5,2,FALSE)</f>
        <v>Clear</v>
      </c>
      <c r="U844" s="1" t="str">
        <f>IF(F844&lt;6,"Night",
IF(F844&lt;12,"Morning",
IF(F844&lt;17,"Afternoon",
IF(F844&lt;21,"Evening","Night"))))</f>
        <v>Night</v>
      </c>
      <c r="V844" s="1" t="str">
        <f>IF(J844&lt;0.3,"Cold",
IF(J844&lt;0.6,"Pleasant","Hot"))</f>
        <v>Cold</v>
      </c>
      <c r="W844" s="1" t="str">
        <f>IF(L844&lt;0.4,"Low",
IF(L844&lt;0.7,"Medium","High"))</f>
        <v>High</v>
      </c>
      <c r="X844" s="1" t="str">
        <f>IF(M844&lt;0.2,"Low",
IF(M844&lt;0.4,"Medium","High"))</f>
        <v>Low</v>
      </c>
      <c r="Y844" s="1" t="str">
        <f>IF(P844&lt;100,"Low",
IF(P844&lt;300,"Medium","High"))</f>
        <v>Low</v>
      </c>
    </row>
    <row r="845" spans="1:25" x14ac:dyDescent="0.3">
      <c r="A845">
        <v>853</v>
      </c>
      <c r="B845" s="2">
        <v>40581</v>
      </c>
      <c r="C845">
        <v>1</v>
      </c>
      <c r="D845">
        <v>0</v>
      </c>
      <c r="E845">
        <v>2</v>
      </c>
      <c r="F845">
        <v>23</v>
      </c>
      <c r="G845" t="b">
        <v>0</v>
      </c>
      <c r="H845">
        <v>1</v>
      </c>
      <c r="I845">
        <v>2</v>
      </c>
      <c r="J845">
        <v>0.3</v>
      </c>
      <c r="K845">
        <v>0.33329999999999999</v>
      </c>
      <c r="L845">
        <v>0.81</v>
      </c>
      <c r="M845">
        <v>0</v>
      </c>
      <c r="N845">
        <v>6</v>
      </c>
      <c r="O845">
        <v>19</v>
      </c>
      <c r="P845">
        <v>25</v>
      </c>
      <c r="Q845" t="str">
        <f>VLOOKUP(MasterData[[#This Row],[season]],[1]Lookup!$A$2:$B$5,2,FALSE)</f>
        <v>Spring</v>
      </c>
      <c r="R845" t="str">
        <f>TEXT(DATE(2026,E845,1),"mmmm")</f>
        <v>February</v>
      </c>
      <c r="S845" t="str">
        <f>IF(OR(H845=0,H845=6),"Weekend","Weekday")</f>
        <v>Weekday</v>
      </c>
      <c r="T845" s="1" t="str">
        <f>VLOOKUP(I845,[1]Lookup!$D$2:$E$5,2,FALSE)</f>
        <v>Mist / Cloudy</v>
      </c>
      <c r="U845" s="1" t="str">
        <f>IF(F845&lt;6,"Night",
IF(F845&lt;12,"Morning",
IF(F845&lt;17,"Afternoon",
IF(F845&lt;21,"Evening","Night"))))</f>
        <v>Night</v>
      </c>
      <c r="V845" s="1" t="str">
        <f>IF(J845&lt;0.3,"Cold",
IF(J845&lt;0.6,"Pleasant","Hot"))</f>
        <v>Pleasant</v>
      </c>
      <c r="W845" s="1" t="str">
        <f>IF(L845&lt;0.4,"Low",
IF(L845&lt;0.7,"Medium","High"))</f>
        <v>High</v>
      </c>
      <c r="X845" s="1" t="str">
        <f>IF(M845&lt;0.2,"Low",
IF(M845&lt;0.4,"Medium","High"))</f>
        <v>Low</v>
      </c>
      <c r="Y845" s="1" t="str">
        <f>IF(P845&lt;100,"Low",
IF(P845&lt;300,"Medium","High"))</f>
        <v>Low</v>
      </c>
    </row>
    <row r="846" spans="1:25" x14ac:dyDescent="0.3">
      <c r="A846">
        <v>854</v>
      </c>
      <c r="B846" s="2">
        <v>40582</v>
      </c>
      <c r="C846">
        <v>1</v>
      </c>
      <c r="D846">
        <v>0</v>
      </c>
      <c r="E846">
        <v>2</v>
      </c>
      <c r="F846">
        <v>0</v>
      </c>
      <c r="G846" t="b">
        <v>0</v>
      </c>
      <c r="H846">
        <v>2</v>
      </c>
      <c r="I846">
        <v>2</v>
      </c>
      <c r="J846">
        <v>0.28000000000000003</v>
      </c>
      <c r="K846">
        <v>0.31819999999999998</v>
      </c>
      <c r="L846">
        <v>0.87</v>
      </c>
      <c r="M846">
        <v>0</v>
      </c>
      <c r="N846">
        <v>4</v>
      </c>
      <c r="O846">
        <v>6</v>
      </c>
      <c r="P846">
        <v>10</v>
      </c>
      <c r="Q846" t="str">
        <f>VLOOKUP(MasterData[[#This Row],[season]],[1]Lookup!$A$2:$B$5,2,FALSE)</f>
        <v>Spring</v>
      </c>
      <c r="R846" t="str">
        <f>TEXT(DATE(2026,E846,1),"mmmm")</f>
        <v>February</v>
      </c>
      <c r="S846" t="str">
        <f>IF(OR(H846=0,H846=6),"Weekend","Weekday")</f>
        <v>Weekday</v>
      </c>
      <c r="T846" s="1" t="str">
        <f>VLOOKUP(I846,[1]Lookup!$D$2:$E$5,2,FALSE)</f>
        <v>Mist / Cloudy</v>
      </c>
      <c r="U846" s="1" t="str">
        <f>IF(F846&lt;6,"Night",
IF(F846&lt;12,"Morning",
IF(F846&lt;17,"Afternoon",
IF(F846&lt;21,"Evening","Night"))))</f>
        <v>Night</v>
      </c>
      <c r="V846" s="1" t="str">
        <f>IF(J846&lt;0.3,"Cold",
IF(J846&lt;0.6,"Pleasant","Hot"))</f>
        <v>Cold</v>
      </c>
      <c r="W846" s="1" t="str">
        <f>IF(L846&lt;0.4,"Low",
IF(L846&lt;0.7,"Medium","High"))</f>
        <v>High</v>
      </c>
      <c r="X846" s="1" t="str">
        <f>IF(M846&lt;0.2,"Low",
IF(M846&lt;0.4,"Medium","High"))</f>
        <v>Low</v>
      </c>
      <c r="Y846" s="1" t="str">
        <f>IF(P846&lt;100,"Low",
IF(P846&lt;300,"Medium","High"))</f>
        <v>Low</v>
      </c>
    </row>
    <row r="847" spans="1:25" x14ac:dyDescent="0.3">
      <c r="A847">
        <v>855</v>
      </c>
      <c r="B847" s="2">
        <v>40582</v>
      </c>
      <c r="C847">
        <v>1</v>
      </c>
      <c r="D847">
        <v>0</v>
      </c>
      <c r="E847">
        <v>2</v>
      </c>
      <c r="F847">
        <v>1</v>
      </c>
      <c r="G847" t="b">
        <v>0</v>
      </c>
      <c r="H847">
        <v>2</v>
      </c>
      <c r="I847">
        <v>2</v>
      </c>
      <c r="J847">
        <v>0.28000000000000003</v>
      </c>
      <c r="K847">
        <v>0.31819999999999998</v>
      </c>
      <c r="L847">
        <v>0.87</v>
      </c>
      <c r="M847">
        <v>0</v>
      </c>
      <c r="N847">
        <v>0</v>
      </c>
      <c r="O847">
        <v>4</v>
      </c>
      <c r="P847">
        <v>4</v>
      </c>
      <c r="Q847" t="str">
        <f>VLOOKUP(MasterData[[#This Row],[season]],[1]Lookup!$A$2:$B$5,2,FALSE)</f>
        <v>Spring</v>
      </c>
      <c r="R847" t="str">
        <f>TEXT(DATE(2026,E847,1),"mmmm")</f>
        <v>February</v>
      </c>
      <c r="S847" t="str">
        <f>IF(OR(H847=0,H847=6),"Weekend","Weekday")</f>
        <v>Weekday</v>
      </c>
      <c r="T847" s="1" t="str">
        <f>VLOOKUP(I847,[1]Lookup!$D$2:$E$5,2,FALSE)</f>
        <v>Mist / Cloudy</v>
      </c>
      <c r="U847" s="1" t="str">
        <f>IF(F847&lt;6,"Night",
IF(F847&lt;12,"Morning",
IF(F847&lt;17,"Afternoon",
IF(F847&lt;21,"Evening","Night"))))</f>
        <v>Night</v>
      </c>
      <c r="V847" s="1" t="str">
        <f>IF(J847&lt;0.3,"Cold",
IF(J847&lt;0.6,"Pleasant","Hot"))</f>
        <v>Cold</v>
      </c>
      <c r="W847" s="1" t="str">
        <f>IF(L847&lt;0.4,"Low",
IF(L847&lt;0.7,"Medium","High"))</f>
        <v>High</v>
      </c>
      <c r="X847" s="1" t="str">
        <f>IF(M847&lt;0.2,"Low",
IF(M847&lt;0.4,"Medium","High"))</f>
        <v>Low</v>
      </c>
      <c r="Y847" s="1" t="str">
        <f>IF(P847&lt;100,"Low",
IF(P847&lt;300,"Medium","High"))</f>
        <v>Low</v>
      </c>
    </row>
    <row r="848" spans="1:25" x14ac:dyDescent="0.3">
      <c r="A848">
        <v>856</v>
      </c>
      <c r="B848" s="2">
        <v>40582</v>
      </c>
      <c r="C848">
        <v>1</v>
      </c>
      <c r="D848">
        <v>0</v>
      </c>
      <c r="E848">
        <v>2</v>
      </c>
      <c r="F848">
        <v>2</v>
      </c>
      <c r="G848" t="b">
        <v>0</v>
      </c>
      <c r="H848">
        <v>2</v>
      </c>
      <c r="I848">
        <v>2</v>
      </c>
      <c r="J848">
        <v>0.26</v>
      </c>
      <c r="K848">
        <v>0.2727</v>
      </c>
      <c r="L848">
        <v>0.93</v>
      </c>
      <c r="M848">
        <v>0.1045</v>
      </c>
      <c r="N848">
        <v>1</v>
      </c>
      <c r="O848">
        <v>1</v>
      </c>
      <c r="P848">
        <v>2</v>
      </c>
      <c r="Q848" t="str">
        <f>VLOOKUP(MasterData[[#This Row],[season]],[1]Lookup!$A$2:$B$5,2,FALSE)</f>
        <v>Spring</v>
      </c>
      <c r="R848" t="str">
        <f>TEXT(DATE(2026,E848,1),"mmmm")</f>
        <v>February</v>
      </c>
      <c r="S848" t="str">
        <f>IF(OR(H848=0,H848=6),"Weekend","Weekday")</f>
        <v>Weekday</v>
      </c>
      <c r="T848" s="1" t="str">
        <f>VLOOKUP(I848,[1]Lookup!$D$2:$E$5,2,FALSE)</f>
        <v>Mist / Cloudy</v>
      </c>
      <c r="U848" s="1" t="str">
        <f>IF(F848&lt;6,"Night",
IF(F848&lt;12,"Morning",
IF(F848&lt;17,"Afternoon",
IF(F848&lt;21,"Evening","Night"))))</f>
        <v>Night</v>
      </c>
      <c r="V848" s="1" t="str">
        <f>IF(J848&lt;0.3,"Cold",
IF(J848&lt;0.6,"Pleasant","Hot"))</f>
        <v>Cold</v>
      </c>
      <c r="W848" s="1" t="str">
        <f>IF(L848&lt;0.4,"Low",
IF(L848&lt;0.7,"Medium","High"))</f>
        <v>High</v>
      </c>
      <c r="X848" s="1" t="str">
        <f>IF(M848&lt;0.2,"Low",
IF(M848&lt;0.4,"Medium","High"))</f>
        <v>Low</v>
      </c>
      <c r="Y848" s="1" t="str">
        <f>IF(P848&lt;100,"Low",
IF(P848&lt;300,"Medium","High"))</f>
        <v>Low</v>
      </c>
    </row>
    <row r="849" spans="1:25" x14ac:dyDescent="0.3">
      <c r="A849">
        <v>857</v>
      </c>
      <c r="B849" s="2">
        <v>40582</v>
      </c>
      <c r="C849">
        <v>1</v>
      </c>
      <c r="D849">
        <v>0</v>
      </c>
      <c r="E849">
        <v>2</v>
      </c>
      <c r="F849">
        <v>3</v>
      </c>
      <c r="G849" t="b">
        <v>0</v>
      </c>
      <c r="H849">
        <v>2</v>
      </c>
      <c r="I849">
        <v>3</v>
      </c>
      <c r="J849">
        <v>0.28000000000000003</v>
      </c>
      <c r="K849">
        <v>0.2727</v>
      </c>
      <c r="L849">
        <v>0.93</v>
      </c>
      <c r="M849">
        <v>0.16420000000000001</v>
      </c>
      <c r="N849">
        <v>0</v>
      </c>
      <c r="O849">
        <v>1</v>
      </c>
      <c r="P849">
        <v>1</v>
      </c>
      <c r="Q849" t="str">
        <f>VLOOKUP(MasterData[[#This Row],[season]],[1]Lookup!$A$2:$B$5,2,FALSE)</f>
        <v>Spring</v>
      </c>
      <c r="R849" t="str">
        <f>TEXT(DATE(2026,E849,1),"mmmm")</f>
        <v>February</v>
      </c>
      <c r="S849" t="str">
        <f>IF(OR(H849=0,H849=6),"Weekend","Weekday")</f>
        <v>Weekday</v>
      </c>
      <c r="T849" s="1" t="str">
        <f>VLOOKUP(I849,[1]Lookup!$D$2:$E$5,2,FALSE)</f>
        <v>Light Rain / Snow</v>
      </c>
      <c r="U849" s="1" t="str">
        <f>IF(F849&lt;6,"Night",
IF(F849&lt;12,"Morning",
IF(F849&lt;17,"Afternoon",
IF(F849&lt;21,"Evening","Night"))))</f>
        <v>Night</v>
      </c>
      <c r="V849" s="1" t="str">
        <f>IF(J849&lt;0.3,"Cold",
IF(J849&lt;0.6,"Pleasant","Hot"))</f>
        <v>Cold</v>
      </c>
      <c r="W849" s="1" t="str">
        <f>IF(L849&lt;0.4,"Low",
IF(L849&lt;0.7,"Medium","High"))</f>
        <v>High</v>
      </c>
      <c r="X849" s="1" t="str">
        <f>IF(M849&lt;0.2,"Low",
IF(M849&lt;0.4,"Medium","High"))</f>
        <v>Low</v>
      </c>
      <c r="Y849" s="1" t="str">
        <f>IF(P849&lt;100,"Low",
IF(P849&lt;300,"Medium","High"))</f>
        <v>Low</v>
      </c>
    </row>
    <row r="850" spans="1:25" x14ac:dyDescent="0.3">
      <c r="A850">
        <v>858</v>
      </c>
      <c r="B850" s="2">
        <v>40582</v>
      </c>
      <c r="C850">
        <v>1</v>
      </c>
      <c r="D850">
        <v>0</v>
      </c>
      <c r="E850">
        <v>2</v>
      </c>
      <c r="F850">
        <v>4</v>
      </c>
      <c r="G850" t="b">
        <v>0</v>
      </c>
      <c r="H850">
        <v>2</v>
      </c>
      <c r="I850">
        <v>1</v>
      </c>
      <c r="J850">
        <v>0.26</v>
      </c>
      <c r="K850">
        <v>0.2576</v>
      </c>
      <c r="L850">
        <v>0.93</v>
      </c>
      <c r="M850">
        <v>0.16420000000000001</v>
      </c>
      <c r="N850">
        <v>0</v>
      </c>
      <c r="O850">
        <v>3</v>
      </c>
      <c r="P850">
        <v>3</v>
      </c>
      <c r="Q850" t="str">
        <f>VLOOKUP(MasterData[[#This Row],[season]],[1]Lookup!$A$2:$B$5,2,FALSE)</f>
        <v>Spring</v>
      </c>
      <c r="R850" t="str">
        <f>TEXT(DATE(2026,E850,1),"mmmm")</f>
        <v>February</v>
      </c>
      <c r="S850" t="str">
        <f>IF(OR(H850=0,H850=6),"Weekend","Weekday")</f>
        <v>Weekday</v>
      </c>
      <c r="T850" s="1" t="str">
        <f>VLOOKUP(I850,[1]Lookup!$D$2:$E$5,2,FALSE)</f>
        <v>Clear</v>
      </c>
      <c r="U850" s="1" t="str">
        <f>IF(F850&lt;6,"Night",
IF(F850&lt;12,"Morning",
IF(F850&lt;17,"Afternoon",
IF(F850&lt;21,"Evening","Night"))))</f>
        <v>Night</v>
      </c>
      <c r="V850" s="1" t="str">
        <f>IF(J850&lt;0.3,"Cold",
IF(J850&lt;0.6,"Pleasant","Hot"))</f>
        <v>Cold</v>
      </c>
      <c r="W850" s="1" t="str">
        <f>IF(L850&lt;0.4,"Low",
IF(L850&lt;0.7,"Medium","High"))</f>
        <v>High</v>
      </c>
      <c r="X850" s="1" t="str">
        <f>IF(M850&lt;0.2,"Low",
IF(M850&lt;0.4,"Medium","High"))</f>
        <v>Low</v>
      </c>
      <c r="Y850" s="1" t="str">
        <f>IF(P850&lt;100,"Low",
IF(P850&lt;300,"Medium","High"))</f>
        <v>Low</v>
      </c>
    </row>
    <row r="851" spans="1:25" x14ac:dyDescent="0.3">
      <c r="A851">
        <v>859</v>
      </c>
      <c r="B851" s="2">
        <v>40582</v>
      </c>
      <c r="C851">
        <v>1</v>
      </c>
      <c r="D851">
        <v>0</v>
      </c>
      <c r="E851">
        <v>2</v>
      </c>
      <c r="F851">
        <v>5</v>
      </c>
      <c r="G851" t="b">
        <v>0</v>
      </c>
      <c r="H851">
        <v>2</v>
      </c>
      <c r="I851">
        <v>1</v>
      </c>
      <c r="J851">
        <v>0.26</v>
      </c>
      <c r="K851">
        <v>0.2273</v>
      </c>
      <c r="L851">
        <v>0.81</v>
      </c>
      <c r="M851">
        <v>0.32840000000000003</v>
      </c>
      <c r="N851">
        <v>0</v>
      </c>
      <c r="O851">
        <v>2</v>
      </c>
      <c r="P851">
        <v>2</v>
      </c>
      <c r="Q851" t="str">
        <f>VLOOKUP(MasterData[[#This Row],[season]],[1]Lookup!$A$2:$B$5,2,FALSE)</f>
        <v>Spring</v>
      </c>
      <c r="R851" t="str">
        <f>TEXT(DATE(2026,E851,1),"mmmm")</f>
        <v>February</v>
      </c>
      <c r="S851" t="str">
        <f>IF(OR(H851=0,H851=6),"Weekend","Weekday")</f>
        <v>Weekday</v>
      </c>
      <c r="T851" s="1" t="str">
        <f>VLOOKUP(I851,[1]Lookup!$D$2:$E$5,2,FALSE)</f>
        <v>Clear</v>
      </c>
      <c r="U851" s="1" t="str">
        <f>IF(F851&lt;6,"Night",
IF(F851&lt;12,"Morning",
IF(F851&lt;17,"Afternoon",
IF(F851&lt;21,"Evening","Night"))))</f>
        <v>Night</v>
      </c>
      <c r="V851" s="1" t="str">
        <f>IF(J851&lt;0.3,"Cold",
IF(J851&lt;0.6,"Pleasant","Hot"))</f>
        <v>Cold</v>
      </c>
      <c r="W851" s="1" t="str">
        <f>IF(L851&lt;0.4,"Low",
IF(L851&lt;0.7,"Medium","High"))</f>
        <v>High</v>
      </c>
      <c r="X851" s="1" t="str">
        <f>IF(M851&lt;0.2,"Low",
IF(M851&lt;0.4,"Medium","High"))</f>
        <v>Medium</v>
      </c>
      <c r="Y851" s="1" t="str">
        <f>IF(P851&lt;100,"Low",
IF(P851&lt;300,"Medium","High"))</f>
        <v>Low</v>
      </c>
    </row>
    <row r="852" spans="1:25" x14ac:dyDescent="0.3">
      <c r="A852">
        <v>860</v>
      </c>
      <c r="B852" s="2">
        <v>40582</v>
      </c>
      <c r="C852">
        <v>1</v>
      </c>
      <c r="D852">
        <v>0</v>
      </c>
      <c r="E852">
        <v>2</v>
      </c>
      <c r="F852">
        <v>6</v>
      </c>
      <c r="G852" t="b">
        <v>0</v>
      </c>
      <c r="H852">
        <v>2</v>
      </c>
      <c r="I852">
        <v>1</v>
      </c>
      <c r="J852">
        <v>0.26</v>
      </c>
      <c r="K852">
        <v>0.2273</v>
      </c>
      <c r="L852">
        <v>0.7</v>
      </c>
      <c r="M852">
        <v>0.32840000000000003</v>
      </c>
      <c r="N852">
        <v>0</v>
      </c>
      <c r="O852">
        <v>39</v>
      </c>
      <c r="P852">
        <v>39</v>
      </c>
      <c r="Q852" t="str">
        <f>VLOOKUP(MasterData[[#This Row],[season]],[1]Lookup!$A$2:$B$5,2,FALSE)</f>
        <v>Spring</v>
      </c>
      <c r="R852" t="str">
        <f>TEXT(DATE(2026,E852,1),"mmmm")</f>
        <v>February</v>
      </c>
      <c r="S852" t="str">
        <f>IF(OR(H852=0,H852=6),"Weekend","Weekday")</f>
        <v>Weekday</v>
      </c>
      <c r="T852" s="1" t="str">
        <f>VLOOKUP(I852,[1]Lookup!$D$2:$E$5,2,FALSE)</f>
        <v>Clear</v>
      </c>
      <c r="U852" s="1" t="str">
        <f>IF(F852&lt;6,"Night",
IF(F852&lt;12,"Morning",
IF(F852&lt;17,"Afternoon",
IF(F852&lt;21,"Evening","Night"))))</f>
        <v>Morning</v>
      </c>
      <c r="V852" s="1" t="str">
        <f>IF(J852&lt;0.3,"Cold",
IF(J852&lt;0.6,"Pleasant","Hot"))</f>
        <v>Cold</v>
      </c>
      <c r="W852" s="1" t="str">
        <f>IF(L852&lt;0.4,"Low",
IF(L852&lt;0.7,"Medium","High"))</f>
        <v>High</v>
      </c>
      <c r="X852" s="1" t="str">
        <f>IF(M852&lt;0.2,"Low",
IF(M852&lt;0.4,"Medium","High"))</f>
        <v>Medium</v>
      </c>
      <c r="Y852" s="1" t="str">
        <f>IF(P852&lt;100,"Low",
IF(P852&lt;300,"Medium","High"))</f>
        <v>Low</v>
      </c>
    </row>
    <row r="853" spans="1:25" x14ac:dyDescent="0.3">
      <c r="A853">
        <v>861</v>
      </c>
      <c r="B853" s="2">
        <v>40582</v>
      </c>
      <c r="C853">
        <v>1</v>
      </c>
      <c r="D853">
        <v>0</v>
      </c>
      <c r="E853">
        <v>2</v>
      </c>
      <c r="F853">
        <v>7</v>
      </c>
      <c r="G853" t="b">
        <v>0</v>
      </c>
      <c r="H853">
        <v>2</v>
      </c>
      <c r="I853">
        <v>1</v>
      </c>
      <c r="J853">
        <v>0.24</v>
      </c>
      <c r="K853">
        <v>0.19700000000000001</v>
      </c>
      <c r="L853">
        <v>0.65</v>
      </c>
      <c r="M853">
        <v>0.41789999999999999</v>
      </c>
      <c r="N853">
        <v>3</v>
      </c>
      <c r="O853">
        <v>97</v>
      </c>
      <c r="P853">
        <v>100</v>
      </c>
      <c r="Q853" t="str">
        <f>VLOOKUP(MasterData[[#This Row],[season]],[1]Lookup!$A$2:$B$5,2,FALSE)</f>
        <v>Spring</v>
      </c>
      <c r="R853" t="str">
        <f>TEXT(DATE(2026,E853,1),"mmmm")</f>
        <v>February</v>
      </c>
      <c r="S853" t="str">
        <f>IF(OR(H853=0,H853=6),"Weekend","Weekday")</f>
        <v>Weekday</v>
      </c>
      <c r="T853" s="1" t="str">
        <f>VLOOKUP(I853,[1]Lookup!$D$2:$E$5,2,FALSE)</f>
        <v>Clear</v>
      </c>
      <c r="U853" s="1" t="str">
        <f>IF(F853&lt;6,"Night",
IF(F853&lt;12,"Morning",
IF(F853&lt;17,"Afternoon",
IF(F853&lt;21,"Evening","Night"))))</f>
        <v>Morning</v>
      </c>
      <c r="V853" s="1" t="str">
        <f>IF(J853&lt;0.3,"Cold",
IF(J853&lt;0.6,"Pleasant","Hot"))</f>
        <v>Cold</v>
      </c>
      <c r="W853" s="1" t="str">
        <f>IF(L853&lt;0.4,"Low",
IF(L853&lt;0.7,"Medium","High"))</f>
        <v>Medium</v>
      </c>
      <c r="X853" s="1" t="str">
        <f>IF(M853&lt;0.2,"Low",
IF(M853&lt;0.4,"Medium","High"))</f>
        <v>High</v>
      </c>
      <c r="Y853" s="1" t="str">
        <f>IF(P853&lt;100,"Low",
IF(P853&lt;300,"Medium","High"))</f>
        <v>Medium</v>
      </c>
    </row>
    <row r="854" spans="1:25" x14ac:dyDescent="0.3">
      <c r="A854">
        <v>862</v>
      </c>
      <c r="B854" s="2">
        <v>40582</v>
      </c>
      <c r="C854">
        <v>1</v>
      </c>
      <c r="D854">
        <v>0</v>
      </c>
      <c r="E854">
        <v>2</v>
      </c>
      <c r="F854">
        <v>8</v>
      </c>
      <c r="G854" t="b">
        <v>0</v>
      </c>
      <c r="H854">
        <v>2</v>
      </c>
      <c r="I854">
        <v>1</v>
      </c>
      <c r="J854">
        <v>0.24</v>
      </c>
      <c r="K854">
        <v>0.19700000000000001</v>
      </c>
      <c r="L854">
        <v>0.56000000000000005</v>
      </c>
      <c r="M854">
        <v>0.49249999999999999</v>
      </c>
      <c r="N854">
        <v>7</v>
      </c>
      <c r="O854">
        <v>236</v>
      </c>
      <c r="P854">
        <v>243</v>
      </c>
      <c r="Q854" t="str">
        <f>VLOOKUP(MasterData[[#This Row],[season]],[1]Lookup!$A$2:$B$5,2,FALSE)</f>
        <v>Spring</v>
      </c>
      <c r="R854" t="str">
        <f>TEXT(DATE(2026,E854,1),"mmmm")</f>
        <v>February</v>
      </c>
      <c r="S854" t="str">
        <f>IF(OR(H854=0,H854=6),"Weekend","Weekday")</f>
        <v>Weekday</v>
      </c>
      <c r="T854" s="1" t="str">
        <f>VLOOKUP(I854,[1]Lookup!$D$2:$E$5,2,FALSE)</f>
        <v>Clear</v>
      </c>
      <c r="U854" s="1" t="str">
        <f>IF(F854&lt;6,"Night",
IF(F854&lt;12,"Morning",
IF(F854&lt;17,"Afternoon",
IF(F854&lt;21,"Evening","Night"))))</f>
        <v>Morning</v>
      </c>
      <c r="V854" s="1" t="str">
        <f>IF(J854&lt;0.3,"Cold",
IF(J854&lt;0.6,"Pleasant","Hot"))</f>
        <v>Cold</v>
      </c>
      <c r="W854" s="1" t="str">
        <f>IF(L854&lt;0.4,"Low",
IF(L854&lt;0.7,"Medium","High"))</f>
        <v>Medium</v>
      </c>
      <c r="X854" s="1" t="str">
        <f>IF(M854&lt;0.2,"Low",
IF(M854&lt;0.4,"Medium","High"))</f>
        <v>High</v>
      </c>
      <c r="Y854" s="1" t="str">
        <f>IF(P854&lt;100,"Low",
IF(P854&lt;300,"Medium","High"))</f>
        <v>Medium</v>
      </c>
    </row>
    <row r="855" spans="1:25" x14ac:dyDescent="0.3">
      <c r="A855">
        <v>863</v>
      </c>
      <c r="B855" s="2">
        <v>40582</v>
      </c>
      <c r="C855">
        <v>1</v>
      </c>
      <c r="D855">
        <v>0</v>
      </c>
      <c r="E855">
        <v>2</v>
      </c>
      <c r="F855">
        <v>9</v>
      </c>
      <c r="G855" t="b">
        <v>0</v>
      </c>
      <c r="H855">
        <v>2</v>
      </c>
      <c r="I855">
        <v>1</v>
      </c>
      <c r="J855">
        <v>0.24</v>
      </c>
      <c r="K855">
        <v>0.19700000000000001</v>
      </c>
      <c r="L855">
        <v>0.52</v>
      </c>
      <c r="M855">
        <v>0.49249999999999999</v>
      </c>
      <c r="N855">
        <v>7</v>
      </c>
      <c r="O855">
        <v>128</v>
      </c>
      <c r="P855">
        <v>135</v>
      </c>
      <c r="Q855" t="str">
        <f>VLOOKUP(MasterData[[#This Row],[season]],[1]Lookup!$A$2:$B$5,2,FALSE)</f>
        <v>Spring</v>
      </c>
      <c r="R855" t="str">
        <f>TEXT(DATE(2026,E855,1),"mmmm")</f>
        <v>February</v>
      </c>
      <c r="S855" t="str">
        <f>IF(OR(H855=0,H855=6),"Weekend","Weekday")</f>
        <v>Weekday</v>
      </c>
      <c r="T855" s="1" t="str">
        <f>VLOOKUP(I855,[1]Lookup!$D$2:$E$5,2,FALSE)</f>
        <v>Clear</v>
      </c>
      <c r="U855" s="1" t="str">
        <f>IF(F855&lt;6,"Night",
IF(F855&lt;12,"Morning",
IF(F855&lt;17,"Afternoon",
IF(F855&lt;21,"Evening","Night"))))</f>
        <v>Morning</v>
      </c>
      <c r="V855" s="1" t="str">
        <f>IF(J855&lt;0.3,"Cold",
IF(J855&lt;0.6,"Pleasant","Hot"))</f>
        <v>Cold</v>
      </c>
      <c r="W855" s="1" t="str">
        <f>IF(L855&lt;0.4,"Low",
IF(L855&lt;0.7,"Medium","High"))</f>
        <v>Medium</v>
      </c>
      <c r="X855" s="1" t="str">
        <f>IF(M855&lt;0.2,"Low",
IF(M855&lt;0.4,"Medium","High"))</f>
        <v>High</v>
      </c>
      <c r="Y855" s="1" t="str">
        <f>IF(P855&lt;100,"Low",
IF(P855&lt;300,"Medium","High"))</f>
        <v>Medium</v>
      </c>
    </row>
    <row r="856" spans="1:25" x14ac:dyDescent="0.3">
      <c r="A856">
        <v>864</v>
      </c>
      <c r="B856" s="2">
        <v>40582</v>
      </c>
      <c r="C856">
        <v>1</v>
      </c>
      <c r="D856">
        <v>0</v>
      </c>
      <c r="E856">
        <v>2</v>
      </c>
      <c r="F856">
        <v>10</v>
      </c>
      <c r="G856" t="b">
        <v>0</v>
      </c>
      <c r="H856">
        <v>2</v>
      </c>
      <c r="I856">
        <v>1</v>
      </c>
      <c r="J856">
        <v>0.22</v>
      </c>
      <c r="K856">
        <v>0.18179999999999999</v>
      </c>
      <c r="L856">
        <v>0.47</v>
      </c>
      <c r="M856">
        <v>0.55220000000000002</v>
      </c>
      <c r="N856">
        <v>4</v>
      </c>
      <c r="O856">
        <v>44</v>
      </c>
      <c r="P856">
        <v>48</v>
      </c>
      <c r="Q856" t="str">
        <f>VLOOKUP(MasterData[[#This Row],[season]],[1]Lookup!$A$2:$B$5,2,FALSE)</f>
        <v>Spring</v>
      </c>
      <c r="R856" t="str">
        <f>TEXT(DATE(2026,E856,1),"mmmm")</f>
        <v>February</v>
      </c>
      <c r="S856" t="str">
        <f>IF(OR(H856=0,H856=6),"Weekend","Weekday")</f>
        <v>Weekday</v>
      </c>
      <c r="T856" s="1" t="str">
        <f>VLOOKUP(I856,[1]Lookup!$D$2:$E$5,2,FALSE)</f>
        <v>Clear</v>
      </c>
      <c r="U856" s="1" t="str">
        <f>IF(F856&lt;6,"Night",
IF(F856&lt;12,"Morning",
IF(F856&lt;17,"Afternoon",
IF(F856&lt;21,"Evening","Night"))))</f>
        <v>Morning</v>
      </c>
      <c r="V856" s="1" t="str">
        <f>IF(J856&lt;0.3,"Cold",
IF(J856&lt;0.6,"Pleasant","Hot"))</f>
        <v>Cold</v>
      </c>
      <c r="W856" s="1" t="str">
        <f>IF(L856&lt;0.4,"Low",
IF(L856&lt;0.7,"Medium","High"))</f>
        <v>Medium</v>
      </c>
      <c r="X856" s="1" t="str">
        <f>IF(M856&lt;0.2,"Low",
IF(M856&lt;0.4,"Medium","High"))</f>
        <v>High</v>
      </c>
      <c r="Y856" s="1" t="str">
        <f>IF(P856&lt;100,"Low",
IF(P856&lt;300,"Medium","High"))</f>
        <v>Low</v>
      </c>
    </row>
    <row r="857" spans="1:25" x14ac:dyDescent="0.3">
      <c r="A857">
        <v>865</v>
      </c>
      <c r="B857" s="2">
        <v>40582</v>
      </c>
      <c r="C857">
        <v>1</v>
      </c>
      <c r="D857">
        <v>0</v>
      </c>
      <c r="E857">
        <v>2</v>
      </c>
      <c r="F857">
        <v>11</v>
      </c>
      <c r="G857" t="b">
        <v>0</v>
      </c>
      <c r="H857">
        <v>2</v>
      </c>
      <c r="I857">
        <v>1</v>
      </c>
      <c r="J857">
        <v>0.22</v>
      </c>
      <c r="K857">
        <v>0.18179999999999999</v>
      </c>
      <c r="L857">
        <v>0.47</v>
      </c>
      <c r="M857">
        <v>0.4627</v>
      </c>
      <c r="N857">
        <v>1</v>
      </c>
      <c r="O857">
        <v>49</v>
      </c>
      <c r="P857">
        <v>50</v>
      </c>
      <c r="Q857" t="str">
        <f>VLOOKUP(MasterData[[#This Row],[season]],[1]Lookup!$A$2:$B$5,2,FALSE)</f>
        <v>Spring</v>
      </c>
      <c r="R857" t="str">
        <f>TEXT(DATE(2026,E857,1),"mmmm")</f>
        <v>February</v>
      </c>
      <c r="S857" t="str">
        <f>IF(OR(H857=0,H857=6),"Weekend","Weekday")</f>
        <v>Weekday</v>
      </c>
      <c r="T857" s="1" t="str">
        <f>VLOOKUP(I857,[1]Lookup!$D$2:$E$5,2,FALSE)</f>
        <v>Clear</v>
      </c>
      <c r="U857" s="1" t="str">
        <f>IF(F857&lt;6,"Night",
IF(F857&lt;12,"Morning",
IF(F857&lt;17,"Afternoon",
IF(F857&lt;21,"Evening","Night"))))</f>
        <v>Morning</v>
      </c>
      <c r="V857" s="1" t="str">
        <f>IF(J857&lt;0.3,"Cold",
IF(J857&lt;0.6,"Pleasant","Hot"))</f>
        <v>Cold</v>
      </c>
      <c r="W857" s="1" t="str">
        <f>IF(L857&lt;0.4,"Low",
IF(L857&lt;0.7,"Medium","High"))</f>
        <v>Medium</v>
      </c>
      <c r="X857" s="1" t="str">
        <f>IF(M857&lt;0.2,"Low",
IF(M857&lt;0.4,"Medium","High"))</f>
        <v>High</v>
      </c>
      <c r="Y857" s="1" t="str">
        <f>IF(P857&lt;100,"Low",
IF(P857&lt;300,"Medium","High"))</f>
        <v>Low</v>
      </c>
    </row>
    <row r="858" spans="1:25" x14ac:dyDescent="0.3">
      <c r="A858">
        <v>866</v>
      </c>
      <c r="B858" s="2">
        <v>40582</v>
      </c>
      <c r="C858">
        <v>1</v>
      </c>
      <c r="D858">
        <v>0</v>
      </c>
      <c r="E858">
        <v>2</v>
      </c>
      <c r="F858">
        <v>12</v>
      </c>
      <c r="G858" t="b">
        <v>0</v>
      </c>
      <c r="H858">
        <v>2</v>
      </c>
      <c r="I858">
        <v>1</v>
      </c>
      <c r="J858">
        <v>0.24</v>
      </c>
      <c r="K858">
        <v>0.19700000000000001</v>
      </c>
      <c r="L858">
        <v>0.38</v>
      </c>
      <c r="M858">
        <v>0.49249999999999999</v>
      </c>
      <c r="N858">
        <v>2</v>
      </c>
      <c r="O858">
        <v>63</v>
      </c>
      <c r="P858">
        <v>65</v>
      </c>
      <c r="Q858" t="str">
        <f>VLOOKUP(MasterData[[#This Row],[season]],[1]Lookup!$A$2:$B$5,2,FALSE)</f>
        <v>Spring</v>
      </c>
      <c r="R858" t="str">
        <f>TEXT(DATE(2026,E858,1),"mmmm")</f>
        <v>February</v>
      </c>
      <c r="S858" t="str">
        <f>IF(OR(H858=0,H858=6),"Weekend","Weekday")</f>
        <v>Weekday</v>
      </c>
      <c r="T858" s="1" t="str">
        <f>VLOOKUP(I858,[1]Lookup!$D$2:$E$5,2,FALSE)</f>
        <v>Clear</v>
      </c>
      <c r="U858" s="1" t="str">
        <f>IF(F858&lt;6,"Night",
IF(F858&lt;12,"Morning",
IF(F858&lt;17,"Afternoon",
IF(F858&lt;21,"Evening","Night"))))</f>
        <v>Afternoon</v>
      </c>
      <c r="V858" s="1" t="str">
        <f>IF(J858&lt;0.3,"Cold",
IF(J858&lt;0.6,"Pleasant","Hot"))</f>
        <v>Cold</v>
      </c>
      <c r="W858" s="1" t="str">
        <f>IF(L858&lt;0.4,"Low",
IF(L858&lt;0.7,"Medium","High"))</f>
        <v>Low</v>
      </c>
      <c r="X858" s="1" t="str">
        <f>IF(M858&lt;0.2,"Low",
IF(M858&lt;0.4,"Medium","High"))</f>
        <v>High</v>
      </c>
      <c r="Y858" s="1" t="str">
        <f>IF(P858&lt;100,"Low",
IF(P858&lt;300,"Medium","High"))</f>
        <v>Low</v>
      </c>
    </row>
    <row r="859" spans="1:25" x14ac:dyDescent="0.3">
      <c r="A859">
        <v>867</v>
      </c>
      <c r="B859" s="2">
        <v>40582</v>
      </c>
      <c r="C859">
        <v>1</v>
      </c>
      <c r="D859">
        <v>0</v>
      </c>
      <c r="E859">
        <v>2</v>
      </c>
      <c r="F859">
        <v>13</v>
      </c>
      <c r="G859" t="b">
        <v>0</v>
      </c>
      <c r="H859">
        <v>2</v>
      </c>
      <c r="I859">
        <v>2</v>
      </c>
      <c r="J859">
        <v>0.24</v>
      </c>
      <c r="K859">
        <v>0.19700000000000001</v>
      </c>
      <c r="L859">
        <v>0.32</v>
      </c>
      <c r="M859">
        <v>0.44779999999999998</v>
      </c>
      <c r="N859">
        <v>2</v>
      </c>
      <c r="O859">
        <v>48</v>
      </c>
      <c r="P859">
        <v>50</v>
      </c>
      <c r="Q859" t="str">
        <f>VLOOKUP(MasterData[[#This Row],[season]],[1]Lookup!$A$2:$B$5,2,FALSE)</f>
        <v>Spring</v>
      </c>
      <c r="R859" t="str">
        <f>TEXT(DATE(2026,E859,1),"mmmm")</f>
        <v>February</v>
      </c>
      <c r="S859" t="str">
        <f>IF(OR(H859=0,H859=6),"Weekend","Weekday")</f>
        <v>Weekday</v>
      </c>
      <c r="T859" s="1" t="str">
        <f>VLOOKUP(I859,[1]Lookup!$D$2:$E$5,2,FALSE)</f>
        <v>Mist / Cloudy</v>
      </c>
      <c r="U859" s="1" t="str">
        <f>IF(F859&lt;6,"Night",
IF(F859&lt;12,"Morning",
IF(F859&lt;17,"Afternoon",
IF(F859&lt;21,"Evening","Night"))))</f>
        <v>Afternoon</v>
      </c>
      <c r="V859" s="1" t="str">
        <f>IF(J859&lt;0.3,"Cold",
IF(J859&lt;0.6,"Pleasant","Hot"))</f>
        <v>Cold</v>
      </c>
      <c r="W859" s="1" t="str">
        <f>IF(L859&lt;0.4,"Low",
IF(L859&lt;0.7,"Medium","High"))</f>
        <v>Low</v>
      </c>
      <c r="X859" s="1" t="str">
        <f>IF(M859&lt;0.2,"Low",
IF(M859&lt;0.4,"Medium","High"))</f>
        <v>High</v>
      </c>
      <c r="Y859" s="1" t="str">
        <f>IF(P859&lt;100,"Low",
IF(P859&lt;300,"Medium","High"))</f>
        <v>Low</v>
      </c>
    </row>
    <row r="860" spans="1:25" x14ac:dyDescent="0.3">
      <c r="A860">
        <v>868</v>
      </c>
      <c r="B860" s="2">
        <v>40582</v>
      </c>
      <c r="C860">
        <v>1</v>
      </c>
      <c r="D860">
        <v>0</v>
      </c>
      <c r="E860">
        <v>2</v>
      </c>
      <c r="F860">
        <v>14</v>
      </c>
      <c r="G860" t="b">
        <v>0</v>
      </c>
      <c r="H860">
        <v>2</v>
      </c>
      <c r="I860">
        <v>1</v>
      </c>
      <c r="J860">
        <v>0.22</v>
      </c>
      <c r="K860">
        <v>0.19700000000000001</v>
      </c>
      <c r="L860">
        <v>0.37</v>
      </c>
      <c r="M860">
        <v>0.41789999999999999</v>
      </c>
      <c r="N860">
        <v>3</v>
      </c>
      <c r="O860">
        <v>61</v>
      </c>
      <c r="P860">
        <v>64</v>
      </c>
      <c r="Q860" t="str">
        <f>VLOOKUP(MasterData[[#This Row],[season]],[1]Lookup!$A$2:$B$5,2,FALSE)</f>
        <v>Spring</v>
      </c>
      <c r="R860" t="str">
        <f>TEXT(DATE(2026,E860,1),"mmmm")</f>
        <v>February</v>
      </c>
      <c r="S860" t="str">
        <f>IF(OR(H860=0,H860=6),"Weekend","Weekday")</f>
        <v>Weekday</v>
      </c>
      <c r="T860" s="1" t="str">
        <f>VLOOKUP(I860,[1]Lookup!$D$2:$E$5,2,FALSE)</f>
        <v>Clear</v>
      </c>
      <c r="U860" s="1" t="str">
        <f>IF(F860&lt;6,"Night",
IF(F860&lt;12,"Morning",
IF(F860&lt;17,"Afternoon",
IF(F860&lt;21,"Evening","Night"))))</f>
        <v>Afternoon</v>
      </c>
      <c r="V860" s="1" t="str">
        <f>IF(J860&lt;0.3,"Cold",
IF(J860&lt;0.6,"Pleasant","Hot"))</f>
        <v>Cold</v>
      </c>
      <c r="W860" s="1" t="str">
        <f>IF(L860&lt;0.4,"Low",
IF(L860&lt;0.7,"Medium","High"))</f>
        <v>Low</v>
      </c>
      <c r="X860" s="1" t="str">
        <f>IF(M860&lt;0.2,"Low",
IF(M860&lt;0.4,"Medium","High"))</f>
        <v>High</v>
      </c>
      <c r="Y860" s="1" t="str">
        <f>IF(P860&lt;100,"Low",
IF(P860&lt;300,"Medium","High"))</f>
        <v>Low</v>
      </c>
    </row>
    <row r="861" spans="1:25" x14ac:dyDescent="0.3">
      <c r="A861">
        <v>869</v>
      </c>
      <c r="B861" s="2">
        <v>40582</v>
      </c>
      <c r="C861">
        <v>1</v>
      </c>
      <c r="D861">
        <v>0</v>
      </c>
      <c r="E861">
        <v>2</v>
      </c>
      <c r="F861">
        <v>15</v>
      </c>
      <c r="G861" t="b">
        <v>0</v>
      </c>
      <c r="H861">
        <v>2</v>
      </c>
      <c r="I861">
        <v>1</v>
      </c>
      <c r="J861">
        <v>0.22</v>
      </c>
      <c r="K861">
        <v>0.19700000000000001</v>
      </c>
      <c r="L861">
        <v>0.35</v>
      </c>
      <c r="M861">
        <v>0.3881</v>
      </c>
      <c r="N861">
        <v>6</v>
      </c>
      <c r="O861">
        <v>45</v>
      </c>
      <c r="P861">
        <v>51</v>
      </c>
      <c r="Q861" t="str">
        <f>VLOOKUP(MasterData[[#This Row],[season]],[1]Lookup!$A$2:$B$5,2,FALSE)</f>
        <v>Spring</v>
      </c>
      <c r="R861" t="str">
        <f>TEXT(DATE(2026,E861,1),"mmmm")</f>
        <v>February</v>
      </c>
      <c r="S861" t="str">
        <f>IF(OR(H861=0,H861=6),"Weekend","Weekday")</f>
        <v>Weekday</v>
      </c>
      <c r="T861" s="1" t="str">
        <f>VLOOKUP(I861,[1]Lookup!$D$2:$E$5,2,FALSE)</f>
        <v>Clear</v>
      </c>
      <c r="U861" s="1" t="str">
        <f>IF(F861&lt;6,"Night",
IF(F861&lt;12,"Morning",
IF(F861&lt;17,"Afternoon",
IF(F861&lt;21,"Evening","Night"))))</f>
        <v>Afternoon</v>
      </c>
      <c r="V861" s="1" t="str">
        <f>IF(J861&lt;0.3,"Cold",
IF(J861&lt;0.6,"Pleasant","Hot"))</f>
        <v>Cold</v>
      </c>
      <c r="W861" s="1" t="str">
        <f>IF(L861&lt;0.4,"Low",
IF(L861&lt;0.7,"Medium","High"))</f>
        <v>Low</v>
      </c>
      <c r="X861" s="1" t="str">
        <f>IF(M861&lt;0.2,"Low",
IF(M861&lt;0.4,"Medium","High"))</f>
        <v>Medium</v>
      </c>
      <c r="Y861" s="1" t="str">
        <f>IF(P861&lt;100,"Low",
IF(P861&lt;300,"Medium","High"))</f>
        <v>Low</v>
      </c>
    </row>
    <row r="862" spans="1:25" x14ac:dyDescent="0.3">
      <c r="A862">
        <v>870</v>
      </c>
      <c r="B862" s="2">
        <v>40582</v>
      </c>
      <c r="C862">
        <v>1</v>
      </c>
      <c r="D862">
        <v>0</v>
      </c>
      <c r="E862">
        <v>2</v>
      </c>
      <c r="F862">
        <v>16</v>
      </c>
      <c r="G862" t="b">
        <v>0</v>
      </c>
      <c r="H862">
        <v>2</v>
      </c>
      <c r="I862">
        <v>1</v>
      </c>
      <c r="J862">
        <v>0.22</v>
      </c>
      <c r="K862">
        <v>0.18179999999999999</v>
      </c>
      <c r="L862">
        <v>0.35</v>
      </c>
      <c r="M862">
        <v>0.52239999999999998</v>
      </c>
      <c r="N862">
        <v>4</v>
      </c>
      <c r="O862">
        <v>79</v>
      </c>
      <c r="P862">
        <v>83</v>
      </c>
      <c r="Q862" t="str">
        <f>VLOOKUP(MasterData[[#This Row],[season]],[1]Lookup!$A$2:$B$5,2,FALSE)</f>
        <v>Spring</v>
      </c>
      <c r="R862" t="str">
        <f>TEXT(DATE(2026,E862,1),"mmmm")</f>
        <v>February</v>
      </c>
      <c r="S862" t="str">
        <f>IF(OR(H862=0,H862=6),"Weekend","Weekday")</f>
        <v>Weekday</v>
      </c>
      <c r="T862" s="1" t="str">
        <f>VLOOKUP(I862,[1]Lookup!$D$2:$E$5,2,FALSE)</f>
        <v>Clear</v>
      </c>
      <c r="U862" s="1" t="str">
        <f>IF(F862&lt;6,"Night",
IF(F862&lt;12,"Morning",
IF(F862&lt;17,"Afternoon",
IF(F862&lt;21,"Evening","Night"))))</f>
        <v>Afternoon</v>
      </c>
      <c r="V862" s="1" t="str">
        <f>IF(J862&lt;0.3,"Cold",
IF(J862&lt;0.6,"Pleasant","Hot"))</f>
        <v>Cold</v>
      </c>
      <c r="W862" s="1" t="str">
        <f>IF(L862&lt;0.4,"Low",
IF(L862&lt;0.7,"Medium","High"))</f>
        <v>Low</v>
      </c>
      <c r="X862" s="1" t="str">
        <f>IF(M862&lt;0.2,"Low",
IF(M862&lt;0.4,"Medium","High"))</f>
        <v>High</v>
      </c>
      <c r="Y862" s="1" t="str">
        <f>IF(P862&lt;100,"Low",
IF(P862&lt;300,"Medium","High"))</f>
        <v>Low</v>
      </c>
    </row>
    <row r="863" spans="1:25" x14ac:dyDescent="0.3">
      <c r="A863">
        <v>871</v>
      </c>
      <c r="B863" s="2">
        <v>40582</v>
      </c>
      <c r="C863">
        <v>1</v>
      </c>
      <c r="D863">
        <v>0</v>
      </c>
      <c r="E863">
        <v>2</v>
      </c>
      <c r="F863">
        <v>17</v>
      </c>
      <c r="G863" t="b">
        <v>0</v>
      </c>
      <c r="H863">
        <v>2</v>
      </c>
      <c r="I863">
        <v>1</v>
      </c>
      <c r="J863">
        <v>0.22</v>
      </c>
      <c r="K863">
        <v>0.18179999999999999</v>
      </c>
      <c r="L863">
        <v>0.32</v>
      </c>
      <c r="M863">
        <v>0.58209999999999995</v>
      </c>
      <c r="N863">
        <v>4</v>
      </c>
      <c r="O863">
        <v>172</v>
      </c>
      <c r="P863">
        <v>176</v>
      </c>
      <c r="Q863" t="str">
        <f>VLOOKUP(MasterData[[#This Row],[season]],[1]Lookup!$A$2:$B$5,2,FALSE)</f>
        <v>Spring</v>
      </c>
      <c r="R863" t="str">
        <f>TEXT(DATE(2026,E863,1),"mmmm")</f>
        <v>February</v>
      </c>
      <c r="S863" t="str">
        <f>IF(OR(H863=0,H863=6),"Weekend","Weekday")</f>
        <v>Weekday</v>
      </c>
      <c r="T863" s="1" t="str">
        <f>VLOOKUP(I863,[1]Lookup!$D$2:$E$5,2,FALSE)</f>
        <v>Clear</v>
      </c>
      <c r="U863" s="1" t="str">
        <f>IF(F863&lt;6,"Night",
IF(F863&lt;12,"Morning",
IF(F863&lt;17,"Afternoon",
IF(F863&lt;21,"Evening","Night"))))</f>
        <v>Evening</v>
      </c>
      <c r="V863" s="1" t="str">
        <f>IF(J863&lt;0.3,"Cold",
IF(J863&lt;0.6,"Pleasant","Hot"))</f>
        <v>Cold</v>
      </c>
      <c r="W863" s="1" t="str">
        <f>IF(L863&lt;0.4,"Low",
IF(L863&lt;0.7,"Medium","High"))</f>
        <v>Low</v>
      </c>
      <c r="X863" s="1" t="str">
        <f>IF(M863&lt;0.2,"Low",
IF(M863&lt;0.4,"Medium","High"))</f>
        <v>High</v>
      </c>
      <c r="Y863" s="1" t="str">
        <f>IF(P863&lt;100,"Low",
IF(P863&lt;300,"Medium","High"))</f>
        <v>Medium</v>
      </c>
    </row>
    <row r="864" spans="1:25" x14ac:dyDescent="0.3">
      <c r="A864">
        <v>872</v>
      </c>
      <c r="B864" s="2">
        <v>40582</v>
      </c>
      <c r="C864">
        <v>1</v>
      </c>
      <c r="D864">
        <v>0</v>
      </c>
      <c r="E864">
        <v>2</v>
      </c>
      <c r="F864">
        <v>18</v>
      </c>
      <c r="G864" t="b">
        <v>0</v>
      </c>
      <c r="H864">
        <v>2</v>
      </c>
      <c r="I864">
        <v>1</v>
      </c>
      <c r="J864">
        <v>0.2</v>
      </c>
      <c r="K864">
        <v>0.18179999999999999</v>
      </c>
      <c r="L864">
        <v>0.32</v>
      </c>
      <c r="M864">
        <v>0.3881</v>
      </c>
      <c r="N864">
        <v>1</v>
      </c>
      <c r="O864">
        <v>151</v>
      </c>
      <c r="P864">
        <v>152</v>
      </c>
      <c r="Q864" t="str">
        <f>VLOOKUP(MasterData[[#This Row],[season]],[1]Lookup!$A$2:$B$5,2,FALSE)</f>
        <v>Spring</v>
      </c>
      <c r="R864" t="str">
        <f>TEXT(DATE(2026,E864,1),"mmmm")</f>
        <v>February</v>
      </c>
      <c r="S864" t="str">
        <f>IF(OR(H864=0,H864=6),"Weekend","Weekday")</f>
        <v>Weekday</v>
      </c>
      <c r="T864" s="1" t="str">
        <f>VLOOKUP(I864,[1]Lookup!$D$2:$E$5,2,FALSE)</f>
        <v>Clear</v>
      </c>
      <c r="U864" s="1" t="str">
        <f>IF(F864&lt;6,"Night",
IF(F864&lt;12,"Morning",
IF(F864&lt;17,"Afternoon",
IF(F864&lt;21,"Evening","Night"))))</f>
        <v>Evening</v>
      </c>
      <c r="V864" s="1" t="str">
        <f>IF(J864&lt;0.3,"Cold",
IF(J864&lt;0.6,"Pleasant","Hot"))</f>
        <v>Cold</v>
      </c>
      <c r="W864" s="1" t="str">
        <f>IF(L864&lt;0.4,"Low",
IF(L864&lt;0.7,"Medium","High"))</f>
        <v>Low</v>
      </c>
      <c r="X864" s="1" t="str">
        <f>IF(M864&lt;0.2,"Low",
IF(M864&lt;0.4,"Medium","High"))</f>
        <v>Medium</v>
      </c>
      <c r="Y864" s="1" t="str">
        <f>IF(P864&lt;100,"Low",
IF(P864&lt;300,"Medium","High"))</f>
        <v>Medium</v>
      </c>
    </row>
    <row r="865" spans="1:25" x14ac:dyDescent="0.3">
      <c r="A865">
        <v>873</v>
      </c>
      <c r="B865" s="2">
        <v>40582</v>
      </c>
      <c r="C865">
        <v>1</v>
      </c>
      <c r="D865">
        <v>0</v>
      </c>
      <c r="E865">
        <v>2</v>
      </c>
      <c r="F865">
        <v>19</v>
      </c>
      <c r="G865" t="b">
        <v>0</v>
      </c>
      <c r="H865">
        <v>2</v>
      </c>
      <c r="I865">
        <v>1</v>
      </c>
      <c r="J865">
        <v>0.16</v>
      </c>
      <c r="K865">
        <v>0.1212</v>
      </c>
      <c r="L865">
        <v>0.4</v>
      </c>
      <c r="M865">
        <v>0.4627</v>
      </c>
      <c r="N865">
        <v>1</v>
      </c>
      <c r="O865">
        <v>100</v>
      </c>
      <c r="P865">
        <v>101</v>
      </c>
      <c r="Q865" t="str">
        <f>VLOOKUP(MasterData[[#This Row],[season]],[1]Lookup!$A$2:$B$5,2,FALSE)</f>
        <v>Spring</v>
      </c>
      <c r="R865" t="str">
        <f>TEXT(DATE(2026,E865,1),"mmmm")</f>
        <v>February</v>
      </c>
      <c r="S865" t="str">
        <f>IF(OR(H865=0,H865=6),"Weekend","Weekday")</f>
        <v>Weekday</v>
      </c>
      <c r="T865" s="1" t="str">
        <f>VLOOKUP(I865,[1]Lookup!$D$2:$E$5,2,FALSE)</f>
        <v>Clear</v>
      </c>
      <c r="U865" s="1" t="str">
        <f>IF(F865&lt;6,"Night",
IF(F865&lt;12,"Morning",
IF(F865&lt;17,"Afternoon",
IF(F865&lt;21,"Evening","Night"))))</f>
        <v>Evening</v>
      </c>
      <c r="V865" s="1" t="str">
        <f>IF(J865&lt;0.3,"Cold",
IF(J865&lt;0.6,"Pleasant","Hot"))</f>
        <v>Cold</v>
      </c>
      <c r="W865" s="1" t="str">
        <f>IF(L865&lt;0.4,"Low",
IF(L865&lt;0.7,"Medium","High"))</f>
        <v>Medium</v>
      </c>
      <c r="X865" s="1" t="str">
        <f>IF(M865&lt;0.2,"Low",
IF(M865&lt;0.4,"Medium","High"))</f>
        <v>High</v>
      </c>
      <c r="Y865" s="1" t="str">
        <f>IF(P865&lt;100,"Low",
IF(P865&lt;300,"Medium","High"))</f>
        <v>Medium</v>
      </c>
    </row>
    <row r="866" spans="1:25" x14ac:dyDescent="0.3">
      <c r="A866">
        <v>874</v>
      </c>
      <c r="B866" s="2">
        <v>40582</v>
      </c>
      <c r="C866">
        <v>1</v>
      </c>
      <c r="D866">
        <v>0</v>
      </c>
      <c r="E866">
        <v>2</v>
      </c>
      <c r="F866">
        <v>20</v>
      </c>
      <c r="G866" t="b">
        <v>0</v>
      </c>
      <c r="H866">
        <v>2</v>
      </c>
      <c r="I866">
        <v>1</v>
      </c>
      <c r="J866">
        <v>0.16</v>
      </c>
      <c r="K866">
        <v>0.13639999999999999</v>
      </c>
      <c r="L866">
        <v>0.4</v>
      </c>
      <c r="M866">
        <v>0.32840000000000003</v>
      </c>
      <c r="N866">
        <v>3</v>
      </c>
      <c r="O866">
        <v>53</v>
      </c>
      <c r="P866">
        <v>56</v>
      </c>
      <c r="Q866" t="str">
        <f>VLOOKUP(MasterData[[#This Row],[season]],[1]Lookup!$A$2:$B$5,2,FALSE)</f>
        <v>Spring</v>
      </c>
      <c r="R866" t="str">
        <f>TEXT(DATE(2026,E866,1),"mmmm")</f>
        <v>February</v>
      </c>
      <c r="S866" t="str">
        <f>IF(OR(H866=0,H866=6),"Weekend","Weekday")</f>
        <v>Weekday</v>
      </c>
      <c r="T866" s="1" t="str">
        <f>VLOOKUP(I866,[1]Lookup!$D$2:$E$5,2,FALSE)</f>
        <v>Clear</v>
      </c>
      <c r="U866" s="1" t="str">
        <f>IF(F866&lt;6,"Night",
IF(F866&lt;12,"Morning",
IF(F866&lt;17,"Afternoon",
IF(F866&lt;21,"Evening","Night"))))</f>
        <v>Evening</v>
      </c>
      <c r="V866" s="1" t="str">
        <f>IF(J866&lt;0.3,"Cold",
IF(J866&lt;0.6,"Pleasant","Hot"))</f>
        <v>Cold</v>
      </c>
      <c r="W866" s="1" t="str">
        <f>IF(L866&lt;0.4,"Low",
IF(L866&lt;0.7,"Medium","High"))</f>
        <v>Medium</v>
      </c>
      <c r="X866" s="1" t="str">
        <f>IF(M866&lt;0.2,"Low",
IF(M866&lt;0.4,"Medium","High"))</f>
        <v>Medium</v>
      </c>
      <c r="Y866" s="1" t="str">
        <f>IF(P866&lt;100,"Low",
IF(P866&lt;300,"Medium","High"))</f>
        <v>Low</v>
      </c>
    </row>
    <row r="867" spans="1:25" x14ac:dyDescent="0.3">
      <c r="A867">
        <v>875</v>
      </c>
      <c r="B867" s="2">
        <v>40582</v>
      </c>
      <c r="C867">
        <v>1</v>
      </c>
      <c r="D867">
        <v>0</v>
      </c>
      <c r="E867">
        <v>2</v>
      </c>
      <c r="F867">
        <v>21</v>
      </c>
      <c r="G867" t="b">
        <v>0</v>
      </c>
      <c r="H867">
        <v>2</v>
      </c>
      <c r="I867">
        <v>1</v>
      </c>
      <c r="J867">
        <v>0.14000000000000001</v>
      </c>
      <c r="K867">
        <v>0.1061</v>
      </c>
      <c r="L867">
        <v>0.33</v>
      </c>
      <c r="M867">
        <v>0.4627</v>
      </c>
      <c r="N867">
        <v>8</v>
      </c>
      <c r="O867">
        <v>46</v>
      </c>
      <c r="P867">
        <v>54</v>
      </c>
      <c r="Q867" t="str">
        <f>VLOOKUP(MasterData[[#This Row],[season]],[1]Lookup!$A$2:$B$5,2,FALSE)</f>
        <v>Spring</v>
      </c>
      <c r="R867" t="str">
        <f>TEXT(DATE(2026,E867,1),"mmmm")</f>
        <v>February</v>
      </c>
      <c r="S867" t="str">
        <f>IF(OR(H867=0,H867=6),"Weekend","Weekday")</f>
        <v>Weekday</v>
      </c>
      <c r="T867" s="1" t="str">
        <f>VLOOKUP(I867,[1]Lookup!$D$2:$E$5,2,FALSE)</f>
        <v>Clear</v>
      </c>
      <c r="U867" s="1" t="str">
        <f>IF(F867&lt;6,"Night",
IF(F867&lt;12,"Morning",
IF(F867&lt;17,"Afternoon",
IF(F867&lt;21,"Evening","Night"))))</f>
        <v>Night</v>
      </c>
      <c r="V867" s="1" t="str">
        <f>IF(J867&lt;0.3,"Cold",
IF(J867&lt;0.6,"Pleasant","Hot"))</f>
        <v>Cold</v>
      </c>
      <c r="W867" s="1" t="str">
        <f>IF(L867&lt;0.4,"Low",
IF(L867&lt;0.7,"Medium","High"))</f>
        <v>Low</v>
      </c>
      <c r="X867" s="1" t="str">
        <f>IF(M867&lt;0.2,"Low",
IF(M867&lt;0.4,"Medium","High"))</f>
        <v>High</v>
      </c>
      <c r="Y867" s="1" t="str">
        <f>IF(P867&lt;100,"Low",
IF(P867&lt;300,"Medium","High"))</f>
        <v>Low</v>
      </c>
    </row>
    <row r="868" spans="1:25" x14ac:dyDescent="0.3">
      <c r="A868">
        <v>876</v>
      </c>
      <c r="B868" s="2">
        <v>40582</v>
      </c>
      <c r="C868">
        <v>1</v>
      </c>
      <c r="D868">
        <v>0</v>
      </c>
      <c r="E868">
        <v>2</v>
      </c>
      <c r="F868">
        <v>22</v>
      </c>
      <c r="G868" t="b">
        <v>0</v>
      </c>
      <c r="H868">
        <v>2</v>
      </c>
      <c r="I868">
        <v>1</v>
      </c>
      <c r="J868">
        <v>0.12</v>
      </c>
      <c r="K868">
        <v>0.1061</v>
      </c>
      <c r="L868">
        <v>0.33</v>
      </c>
      <c r="M868">
        <v>0.35820000000000002</v>
      </c>
      <c r="N868">
        <v>0</v>
      </c>
      <c r="O868">
        <v>29</v>
      </c>
      <c r="P868">
        <v>29</v>
      </c>
      <c r="Q868" t="str">
        <f>VLOOKUP(MasterData[[#This Row],[season]],[1]Lookup!$A$2:$B$5,2,FALSE)</f>
        <v>Spring</v>
      </c>
      <c r="R868" t="str">
        <f>TEXT(DATE(2026,E868,1),"mmmm")</f>
        <v>February</v>
      </c>
      <c r="S868" t="str">
        <f>IF(OR(H868=0,H868=6),"Weekend","Weekday")</f>
        <v>Weekday</v>
      </c>
      <c r="T868" s="1" t="str">
        <f>VLOOKUP(I868,[1]Lookup!$D$2:$E$5,2,FALSE)</f>
        <v>Clear</v>
      </c>
      <c r="U868" s="1" t="str">
        <f>IF(F868&lt;6,"Night",
IF(F868&lt;12,"Morning",
IF(F868&lt;17,"Afternoon",
IF(F868&lt;21,"Evening","Night"))))</f>
        <v>Night</v>
      </c>
      <c r="V868" s="1" t="str">
        <f>IF(J868&lt;0.3,"Cold",
IF(J868&lt;0.6,"Pleasant","Hot"))</f>
        <v>Cold</v>
      </c>
      <c r="W868" s="1" t="str">
        <f>IF(L868&lt;0.4,"Low",
IF(L868&lt;0.7,"Medium","High"))</f>
        <v>Low</v>
      </c>
      <c r="X868" s="1" t="str">
        <f>IF(M868&lt;0.2,"Low",
IF(M868&lt;0.4,"Medium","High"))</f>
        <v>Medium</v>
      </c>
      <c r="Y868" s="1" t="str">
        <f>IF(P868&lt;100,"Low",
IF(P868&lt;300,"Medium","High"))</f>
        <v>Low</v>
      </c>
    </row>
    <row r="869" spans="1:25" x14ac:dyDescent="0.3">
      <c r="A869">
        <v>877</v>
      </c>
      <c r="B869" s="2">
        <v>40582</v>
      </c>
      <c r="C869">
        <v>1</v>
      </c>
      <c r="D869">
        <v>0</v>
      </c>
      <c r="E869">
        <v>2</v>
      </c>
      <c r="F869">
        <v>23</v>
      </c>
      <c r="G869" t="b">
        <v>0</v>
      </c>
      <c r="H869">
        <v>2</v>
      </c>
      <c r="I869">
        <v>1</v>
      </c>
      <c r="J869">
        <v>0.12</v>
      </c>
      <c r="K869">
        <v>0.1061</v>
      </c>
      <c r="L869">
        <v>0.33</v>
      </c>
      <c r="M869">
        <v>0.32840000000000003</v>
      </c>
      <c r="N869">
        <v>3</v>
      </c>
      <c r="O869">
        <v>9</v>
      </c>
      <c r="P869">
        <v>12</v>
      </c>
      <c r="Q869" t="str">
        <f>VLOOKUP(MasterData[[#This Row],[season]],[1]Lookup!$A$2:$B$5,2,FALSE)</f>
        <v>Spring</v>
      </c>
      <c r="R869" t="str">
        <f>TEXT(DATE(2026,E869,1),"mmmm")</f>
        <v>February</v>
      </c>
      <c r="S869" t="str">
        <f>IF(OR(H869=0,H869=6),"Weekend","Weekday")</f>
        <v>Weekday</v>
      </c>
      <c r="T869" s="1" t="str">
        <f>VLOOKUP(I869,[1]Lookup!$D$2:$E$5,2,FALSE)</f>
        <v>Clear</v>
      </c>
      <c r="U869" s="1" t="str">
        <f>IF(F869&lt;6,"Night",
IF(F869&lt;12,"Morning",
IF(F869&lt;17,"Afternoon",
IF(F869&lt;21,"Evening","Night"))))</f>
        <v>Night</v>
      </c>
      <c r="V869" s="1" t="str">
        <f>IF(J869&lt;0.3,"Cold",
IF(J869&lt;0.6,"Pleasant","Hot"))</f>
        <v>Cold</v>
      </c>
      <c r="W869" s="1" t="str">
        <f>IF(L869&lt;0.4,"Low",
IF(L869&lt;0.7,"Medium","High"))</f>
        <v>Low</v>
      </c>
      <c r="X869" s="1" t="str">
        <f>IF(M869&lt;0.2,"Low",
IF(M869&lt;0.4,"Medium","High"))</f>
        <v>Medium</v>
      </c>
      <c r="Y869" s="1" t="str">
        <f>IF(P869&lt;100,"Low",
IF(P869&lt;300,"Medium","High"))</f>
        <v>Low</v>
      </c>
    </row>
    <row r="870" spans="1:25" x14ac:dyDescent="0.3">
      <c r="A870">
        <v>878</v>
      </c>
      <c r="B870" s="2">
        <v>40583</v>
      </c>
      <c r="C870">
        <v>1</v>
      </c>
      <c r="D870">
        <v>0</v>
      </c>
      <c r="E870">
        <v>2</v>
      </c>
      <c r="F870">
        <v>0</v>
      </c>
      <c r="G870" t="b">
        <v>0</v>
      </c>
      <c r="H870">
        <v>3</v>
      </c>
      <c r="I870">
        <v>1</v>
      </c>
      <c r="J870">
        <v>0.1</v>
      </c>
      <c r="K870">
        <v>7.5800000000000006E-2</v>
      </c>
      <c r="L870">
        <v>0.36</v>
      </c>
      <c r="M870">
        <v>0.35820000000000002</v>
      </c>
      <c r="N870">
        <v>0</v>
      </c>
      <c r="O870">
        <v>17</v>
      </c>
      <c r="P870">
        <v>17</v>
      </c>
      <c r="Q870" t="str">
        <f>VLOOKUP(MasterData[[#This Row],[season]],[1]Lookup!$A$2:$B$5,2,FALSE)</f>
        <v>Spring</v>
      </c>
      <c r="R870" t="str">
        <f>TEXT(DATE(2026,E870,1),"mmmm")</f>
        <v>February</v>
      </c>
      <c r="S870" t="str">
        <f>IF(OR(H870=0,H870=6),"Weekend","Weekday")</f>
        <v>Weekday</v>
      </c>
      <c r="T870" s="1" t="str">
        <f>VLOOKUP(I870,[1]Lookup!$D$2:$E$5,2,FALSE)</f>
        <v>Clear</v>
      </c>
      <c r="U870" s="1" t="str">
        <f>IF(F870&lt;6,"Night",
IF(F870&lt;12,"Morning",
IF(F870&lt;17,"Afternoon",
IF(F870&lt;21,"Evening","Night"))))</f>
        <v>Night</v>
      </c>
      <c r="V870" s="1" t="str">
        <f>IF(J870&lt;0.3,"Cold",
IF(J870&lt;0.6,"Pleasant","Hot"))</f>
        <v>Cold</v>
      </c>
      <c r="W870" s="1" t="str">
        <f>IF(L870&lt;0.4,"Low",
IF(L870&lt;0.7,"Medium","High"))</f>
        <v>Low</v>
      </c>
      <c r="X870" s="1" t="str">
        <f>IF(M870&lt;0.2,"Low",
IF(M870&lt;0.4,"Medium","High"))</f>
        <v>Medium</v>
      </c>
      <c r="Y870" s="1" t="str">
        <f>IF(P870&lt;100,"Low",
IF(P870&lt;300,"Medium","High"))</f>
        <v>Low</v>
      </c>
    </row>
    <row r="871" spans="1:25" x14ac:dyDescent="0.3">
      <c r="A871">
        <v>879</v>
      </c>
      <c r="B871" s="2">
        <v>40583</v>
      </c>
      <c r="C871">
        <v>1</v>
      </c>
      <c r="D871">
        <v>0</v>
      </c>
      <c r="E871">
        <v>2</v>
      </c>
      <c r="F871">
        <v>1</v>
      </c>
      <c r="G871" t="b">
        <v>0</v>
      </c>
      <c r="H871">
        <v>3</v>
      </c>
      <c r="I871">
        <v>1</v>
      </c>
      <c r="J871">
        <v>0.1</v>
      </c>
      <c r="K871">
        <v>0.1061</v>
      </c>
      <c r="L871">
        <v>0.36</v>
      </c>
      <c r="M871">
        <v>0.22389999999999999</v>
      </c>
      <c r="N871">
        <v>0</v>
      </c>
      <c r="O871">
        <v>7</v>
      </c>
      <c r="P871">
        <v>7</v>
      </c>
      <c r="Q871" t="str">
        <f>VLOOKUP(MasterData[[#This Row],[season]],[1]Lookup!$A$2:$B$5,2,FALSE)</f>
        <v>Spring</v>
      </c>
      <c r="R871" t="str">
        <f>TEXT(DATE(2026,E871,1),"mmmm")</f>
        <v>February</v>
      </c>
      <c r="S871" t="str">
        <f>IF(OR(H871=0,H871=6),"Weekend","Weekday")</f>
        <v>Weekday</v>
      </c>
      <c r="T871" s="1" t="str">
        <f>VLOOKUP(I871,[1]Lookup!$D$2:$E$5,2,FALSE)</f>
        <v>Clear</v>
      </c>
      <c r="U871" s="1" t="str">
        <f>IF(F871&lt;6,"Night",
IF(F871&lt;12,"Morning",
IF(F871&lt;17,"Afternoon",
IF(F871&lt;21,"Evening","Night"))))</f>
        <v>Night</v>
      </c>
      <c r="V871" s="1" t="str">
        <f>IF(J871&lt;0.3,"Cold",
IF(J871&lt;0.6,"Pleasant","Hot"))</f>
        <v>Cold</v>
      </c>
      <c r="W871" s="1" t="str">
        <f>IF(L871&lt;0.4,"Low",
IF(L871&lt;0.7,"Medium","High"))</f>
        <v>Low</v>
      </c>
      <c r="X871" s="1" t="str">
        <f>IF(M871&lt;0.2,"Low",
IF(M871&lt;0.4,"Medium","High"))</f>
        <v>Medium</v>
      </c>
      <c r="Y871" s="1" t="str">
        <f>IF(P871&lt;100,"Low",
IF(P871&lt;300,"Medium","High"))</f>
        <v>Low</v>
      </c>
    </row>
    <row r="872" spans="1:25" x14ac:dyDescent="0.3">
      <c r="A872">
        <v>880</v>
      </c>
      <c r="B872" s="2">
        <v>40583</v>
      </c>
      <c r="C872">
        <v>1</v>
      </c>
      <c r="D872">
        <v>0</v>
      </c>
      <c r="E872">
        <v>2</v>
      </c>
      <c r="F872">
        <v>2</v>
      </c>
      <c r="G872" t="b">
        <v>0</v>
      </c>
      <c r="H872">
        <v>3</v>
      </c>
      <c r="I872">
        <v>1</v>
      </c>
      <c r="J872">
        <v>0.08</v>
      </c>
      <c r="K872">
        <v>7.5800000000000006E-2</v>
      </c>
      <c r="L872">
        <v>0.38</v>
      </c>
      <c r="M872">
        <v>0.28360000000000002</v>
      </c>
      <c r="N872">
        <v>1</v>
      </c>
      <c r="O872">
        <v>2</v>
      </c>
      <c r="P872">
        <v>3</v>
      </c>
      <c r="Q872" t="str">
        <f>VLOOKUP(MasterData[[#This Row],[season]],[1]Lookup!$A$2:$B$5,2,FALSE)</f>
        <v>Spring</v>
      </c>
      <c r="R872" t="str">
        <f>TEXT(DATE(2026,E872,1),"mmmm")</f>
        <v>February</v>
      </c>
      <c r="S872" t="str">
        <f>IF(OR(H872=0,H872=6),"Weekend","Weekday")</f>
        <v>Weekday</v>
      </c>
      <c r="T872" s="1" t="str">
        <f>VLOOKUP(I872,[1]Lookup!$D$2:$E$5,2,FALSE)</f>
        <v>Clear</v>
      </c>
      <c r="U872" s="1" t="str">
        <f>IF(F872&lt;6,"Night",
IF(F872&lt;12,"Morning",
IF(F872&lt;17,"Afternoon",
IF(F872&lt;21,"Evening","Night"))))</f>
        <v>Night</v>
      </c>
      <c r="V872" s="1" t="str">
        <f>IF(J872&lt;0.3,"Cold",
IF(J872&lt;0.6,"Pleasant","Hot"))</f>
        <v>Cold</v>
      </c>
      <c r="W872" s="1" t="str">
        <f>IF(L872&lt;0.4,"Low",
IF(L872&lt;0.7,"Medium","High"))</f>
        <v>Low</v>
      </c>
      <c r="X872" s="1" t="str">
        <f>IF(M872&lt;0.2,"Low",
IF(M872&lt;0.4,"Medium","High"))</f>
        <v>Medium</v>
      </c>
      <c r="Y872" s="1" t="str">
        <f>IF(P872&lt;100,"Low",
IF(P872&lt;300,"Medium","High"))</f>
        <v>Low</v>
      </c>
    </row>
    <row r="873" spans="1:25" x14ac:dyDescent="0.3">
      <c r="A873">
        <v>881</v>
      </c>
      <c r="B873" s="2">
        <v>40583</v>
      </c>
      <c r="C873">
        <v>1</v>
      </c>
      <c r="D873">
        <v>0</v>
      </c>
      <c r="E873">
        <v>2</v>
      </c>
      <c r="F873">
        <v>3</v>
      </c>
      <c r="G873" t="b">
        <v>0</v>
      </c>
      <c r="H873">
        <v>3</v>
      </c>
      <c r="I873">
        <v>1</v>
      </c>
      <c r="J873">
        <v>0.06</v>
      </c>
      <c r="K873">
        <v>7.5800000000000006E-2</v>
      </c>
      <c r="L873">
        <v>0.45</v>
      </c>
      <c r="M873">
        <v>0.1343</v>
      </c>
      <c r="N873">
        <v>0</v>
      </c>
      <c r="O873">
        <v>2</v>
      </c>
      <c r="P873">
        <v>2</v>
      </c>
      <c r="Q873" t="str">
        <f>VLOOKUP(MasterData[[#This Row],[season]],[1]Lookup!$A$2:$B$5,2,FALSE)</f>
        <v>Spring</v>
      </c>
      <c r="R873" t="str">
        <f>TEXT(DATE(2026,E873,1),"mmmm")</f>
        <v>February</v>
      </c>
      <c r="S873" t="str">
        <f>IF(OR(H873=0,H873=6),"Weekend","Weekday")</f>
        <v>Weekday</v>
      </c>
      <c r="T873" s="1" t="str">
        <f>VLOOKUP(I873,[1]Lookup!$D$2:$E$5,2,FALSE)</f>
        <v>Clear</v>
      </c>
      <c r="U873" s="1" t="str">
        <f>IF(F873&lt;6,"Night",
IF(F873&lt;12,"Morning",
IF(F873&lt;17,"Afternoon",
IF(F873&lt;21,"Evening","Night"))))</f>
        <v>Night</v>
      </c>
      <c r="V873" s="1" t="str">
        <f>IF(J873&lt;0.3,"Cold",
IF(J873&lt;0.6,"Pleasant","Hot"))</f>
        <v>Cold</v>
      </c>
      <c r="W873" s="1" t="str">
        <f>IF(L873&lt;0.4,"Low",
IF(L873&lt;0.7,"Medium","High"))</f>
        <v>Medium</v>
      </c>
      <c r="X873" s="1" t="str">
        <f>IF(M873&lt;0.2,"Low",
IF(M873&lt;0.4,"Medium","High"))</f>
        <v>Low</v>
      </c>
      <c r="Y873" s="1" t="str">
        <f>IF(P873&lt;100,"Low",
IF(P873&lt;300,"Medium","High"))</f>
        <v>Low</v>
      </c>
    </row>
    <row r="874" spans="1:25" x14ac:dyDescent="0.3">
      <c r="A874">
        <v>882</v>
      </c>
      <c r="B874" s="2">
        <v>40583</v>
      </c>
      <c r="C874">
        <v>1</v>
      </c>
      <c r="D874">
        <v>0</v>
      </c>
      <c r="E874">
        <v>2</v>
      </c>
      <c r="F874">
        <v>5</v>
      </c>
      <c r="G874" t="b">
        <v>0</v>
      </c>
      <c r="H874">
        <v>3</v>
      </c>
      <c r="I874">
        <v>1</v>
      </c>
      <c r="J874">
        <v>0.06</v>
      </c>
      <c r="K874">
        <v>0.1061</v>
      </c>
      <c r="L874">
        <v>0.45</v>
      </c>
      <c r="M874">
        <v>0.1045</v>
      </c>
      <c r="N874">
        <v>0</v>
      </c>
      <c r="O874">
        <v>7</v>
      </c>
      <c r="P874">
        <v>7</v>
      </c>
      <c r="Q874" t="str">
        <f>VLOOKUP(MasterData[[#This Row],[season]],[1]Lookup!$A$2:$B$5,2,FALSE)</f>
        <v>Spring</v>
      </c>
      <c r="R874" t="str">
        <f>TEXT(DATE(2026,E874,1),"mmmm")</f>
        <v>February</v>
      </c>
      <c r="S874" t="str">
        <f>IF(OR(H874=0,H874=6),"Weekend","Weekday")</f>
        <v>Weekday</v>
      </c>
      <c r="T874" s="1" t="str">
        <f>VLOOKUP(I874,[1]Lookup!$D$2:$E$5,2,FALSE)</f>
        <v>Clear</v>
      </c>
      <c r="U874" s="1" t="str">
        <f>IF(F874&lt;6,"Night",
IF(F874&lt;12,"Morning",
IF(F874&lt;17,"Afternoon",
IF(F874&lt;21,"Evening","Night"))))</f>
        <v>Night</v>
      </c>
      <c r="V874" s="1" t="str">
        <f>IF(J874&lt;0.3,"Cold",
IF(J874&lt;0.6,"Pleasant","Hot"))</f>
        <v>Cold</v>
      </c>
      <c r="W874" s="1" t="str">
        <f>IF(L874&lt;0.4,"Low",
IF(L874&lt;0.7,"Medium","High"))</f>
        <v>Medium</v>
      </c>
      <c r="X874" s="1" t="str">
        <f>IF(M874&lt;0.2,"Low",
IF(M874&lt;0.4,"Medium","High"))</f>
        <v>Low</v>
      </c>
      <c r="Y874" s="1" t="str">
        <f>IF(P874&lt;100,"Low",
IF(P874&lt;300,"Medium","High"))</f>
        <v>Low</v>
      </c>
    </row>
    <row r="875" spans="1:25" x14ac:dyDescent="0.3">
      <c r="A875">
        <v>883</v>
      </c>
      <c r="B875" s="2">
        <v>40583</v>
      </c>
      <c r="C875">
        <v>1</v>
      </c>
      <c r="D875">
        <v>0</v>
      </c>
      <c r="E875">
        <v>2</v>
      </c>
      <c r="F875">
        <v>6</v>
      </c>
      <c r="G875" t="b">
        <v>0</v>
      </c>
      <c r="H875">
        <v>3</v>
      </c>
      <c r="I875">
        <v>1</v>
      </c>
      <c r="J875">
        <v>0.06</v>
      </c>
      <c r="K875">
        <v>0.1515</v>
      </c>
      <c r="L875">
        <v>0.45</v>
      </c>
      <c r="M875">
        <v>0</v>
      </c>
      <c r="N875">
        <v>0</v>
      </c>
      <c r="O875">
        <v>43</v>
      </c>
      <c r="P875">
        <v>43</v>
      </c>
      <c r="Q875" t="str">
        <f>VLOOKUP(MasterData[[#This Row],[season]],[1]Lookup!$A$2:$B$5,2,FALSE)</f>
        <v>Spring</v>
      </c>
      <c r="R875" t="str">
        <f>TEXT(DATE(2026,E875,1),"mmmm")</f>
        <v>February</v>
      </c>
      <c r="S875" t="str">
        <f>IF(OR(H875=0,H875=6),"Weekend","Weekday")</f>
        <v>Weekday</v>
      </c>
      <c r="T875" s="1" t="str">
        <f>VLOOKUP(I875,[1]Lookup!$D$2:$E$5,2,FALSE)</f>
        <v>Clear</v>
      </c>
      <c r="U875" s="1" t="str">
        <f>IF(F875&lt;6,"Night",
IF(F875&lt;12,"Morning",
IF(F875&lt;17,"Afternoon",
IF(F875&lt;21,"Evening","Night"))))</f>
        <v>Morning</v>
      </c>
      <c r="V875" s="1" t="str">
        <f>IF(J875&lt;0.3,"Cold",
IF(J875&lt;0.6,"Pleasant","Hot"))</f>
        <v>Cold</v>
      </c>
      <c r="W875" s="1" t="str">
        <f>IF(L875&lt;0.4,"Low",
IF(L875&lt;0.7,"Medium","High"))</f>
        <v>Medium</v>
      </c>
      <c r="X875" s="1" t="str">
        <f>IF(M875&lt;0.2,"Low",
IF(M875&lt;0.4,"Medium","High"))</f>
        <v>Low</v>
      </c>
      <c r="Y875" s="1" t="str">
        <f>IF(P875&lt;100,"Low",
IF(P875&lt;300,"Medium","High"))</f>
        <v>Low</v>
      </c>
    </row>
    <row r="876" spans="1:25" x14ac:dyDescent="0.3">
      <c r="A876">
        <v>884</v>
      </c>
      <c r="B876" s="2">
        <v>40583</v>
      </c>
      <c r="C876">
        <v>1</v>
      </c>
      <c r="D876">
        <v>0</v>
      </c>
      <c r="E876">
        <v>2</v>
      </c>
      <c r="F876">
        <v>7</v>
      </c>
      <c r="G876" t="b">
        <v>0</v>
      </c>
      <c r="H876">
        <v>3</v>
      </c>
      <c r="I876">
        <v>1</v>
      </c>
      <c r="J876">
        <v>0.06</v>
      </c>
      <c r="K876">
        <v>0.1061</v>
      </c>
      <c r="L876">
        <v>0.49</v>
      </c>
      <c r="M876">
        <v>0.1045</v>
      </c>
      <c r="N876">
        <v>4</v>
      </c>
      <c r="O876">
        <v>95</v>
      </c>
      <c r="P876">
        <v>99</v>
      </c>
      <c r="Q876" t="str">
        <f>VLOOKUP(MasterData[[#This Row],[season]],[1]Lookup!$A$2:$B$5,2,FALSE)</f>
        <v>Spring</v>
      </c>
      <c r="R876" t="str">
        <f>TEXT(DATE(2026,E876,1),"mmmm")</f>
        <v>February</v>
      </c>
      <c r="S876" t="str">
        <f>IF(OR(H876=0,H876=6),"Weekend","Weekday")</f>
        <v>Weekday</v>
      </c>
      <c r="T876" s="1" t="str">
        <f>VLOOKUP(I876,[1]Lookup!$D$2:$E$5,2,FALSE)</f>
        <v>Clear</v>
      </c>
      <c r="U876" s="1" t="str">
        <f>IF(F876&lt;6,"Night",
IF(F876&lt;12,"Morning",
IF(F876&lt;17,"Afternoon",
IF(F876&lt;21,"Evening","Night"))))</f>
        <v>Morning</v>
      </c>
      <c r="V876" s="1" t="str">
        <f>IF(J876&lt;0.3,"Cold",
IF(J876&lt;0.6,"Pleasant","Hot"))</f>
        <v>Cold</v>
      </c>
      <c r="W876" s="1" t="str">
        <f>IF(L876&lt;0.4,"Low",
IF(L876&lt;0.7,"Medium","High"))</f>
        <v>Medium</v>
      </c>
      <c r="X876" s="1" t="str">
        <f>IF(M876&lt;0.2,"Low",
IF(M876&lt;0.4,"Medium","High"))</f>
        <v>Low</v>
      </c>
      <c r="Y876" s="1" t="str">
        <f>IF(P876&lt;100,"Low",
IF(P876&lt;300,"Medium","High"))</f>
        <v>Low</v>
      </c>
    </row>
    <row r="877" spans="1:25" x14ac:dyDescent="0.3">
      <c r="A877">
        <v>885</v>
      </c>
      <c r="B877" s="2">
        <v>40583</v>
      </c>
      <c r="C877">
        <v>1</v>
      </c>
      <c r="D877">
        <v>0</v>
      </c>
      <c r="E877">
        <v>2</v>
      </c>
      <c r="F877">
        <v>8</v>
      </c>
      <c r="G877" t="b">
        <v>0</v>
      </c>
      <c r="H877">
        <v>3</v>
      </c>
      <c r="I877">
        <v>1</v>
      </c>
      <c r="J877">
        <v>0.1</v>
      </c>
      <c r="K877">
        <v>0.13639999999999999</v>
      </c>
      <c r="L877">
        <v>0.42</v>
      </c>
      <c r="M877">
        <v>0</v>
      </c>
      <c r="N877">
        <v>1</v>
      </c>
      <c r="O877">
        <v>198</v>
      </c>
      <c r="P877">
        <v>199</v>
      </c>
      <c r="Q877" t="str">
        <f>VLOOKUP(MasterData[[#This Row],[season]],[1]Lookup!$A$2:$B$5,2,FALSE)</f>
        <v>Spring</v>
      </c>
      <c r="R877" t="str">
        <f>TEXT(DATE(2026,E877,1),"mmmm")</f>
        <v>February</v>
      </c>
      <c r="S877" t="str">
        <f>IF(OR(H877=0,H877=6),"Weekend","Weekday")</f>
        <v>Weekday</v>
      </c>
      <c r="T877" s="1" t="str">
        <f>VLOOKUP(I877,[1]Lookup!$D$2:$E$5,2,FALSE)</f>
        <v>Clear</v>
      </c>
      <c r="U877" s="1" t="str">
        <f>IF(F877&lt;6,"Night",
IF(F877&lt;12,"Morning",
IF(F877&lt;17,"Afternoon",
IF(F877&lt;21,"Evening","Night"))))</f>
        <v>Morning</v>
      </c>
      <c r="V877" s="1" t="str">
        <f>IF(J877&lt;0.3,"Cold",
IF(J877&lt;0.6,"Pleasant","Hot"))</f>
        <v>Cold</v>
      </c>
      <c r="W877" s="1" t="str">
        <f>IF(L877&lt;0.4,"Low",
IF(L877&lt;0.7,"Medium","High"))</f>
        <v>Medium</v>
      </c>
      <c r="X877" s="1" t="str">
        <f>IF(M877&lt;0.2,"Low",
IF(M877&lt;0.4,"Medium","High"))</f>
        <v>Low</v>
      </c>
      <c r="Y877" s="1" t="str">
        <f>IF(P877&lt;100,"Low",
IF(P877&lt;300,"Medium","High"))</f>
        <v>Medium</v>
      </c>
    </row>
    <row r="878" spans="1:25" x14ac:dyDescent="0.3">
      <c r="A878">
        <v>886</v>
      </c>
      <c r="B878" s="2">
        <v>40583</v>
      </c>
      <c r="C878">
        <v>1</v>
      </c>
      <c r="D878">
        <v>0</v>
      </c>
      <c r="E878">
        <v>2</v>
      </c>
      <c r="F878">
        <v>9</v>
      </c>
      <c r="G878" t="b">
        <v>0</v>
      </c>
      <c r="H878">
        <v>3</v>
      </c>
      <c r="I878">
        <v>1</v>
      </c>
      <c r="J878">
        <v>0.12</v>
      </c>
      <c r="K878">
        <v>0.13639999999999999</v>
      </c>
      <c r="L878">
        <v>0.39</v>
      </c>
      <c r="M878">
        <v>0.16420000000000001</v>
      </c>
      <c r="N878">
        <v>4</v>
      </c>
      <c r="O878">
        <v>119</v>
      </c>
      <c r="P878">
        <v>123</v>
      </c>
      <c r="Q878" t="str">
        <f>VLOOKUP(MasterData[[#This Row],[season]],[1]Lookup!$A$2:$B$5,2,FALSE)</f>
        <v>Spring</v>
      </c>
      <c r="R878" t="str">
        <f>TEXT(DATE(2026,E878,1),"mmmm")</f>
        <v>February</v>
      </c>
      <c r="S878" t="str">
        <f>IF(OR(H878=0,H878=6),"Weekend","Weekday")</f>
        <v>Weekday</v>
      </c>
      <c r="T878" s="1" t="str">
        <f>VLOOKUP(I878,[1]Lookup!$D$2:$E$5,2,FALSE)</f>
        <v>Clear</v>
      </c>
      <c r="U878" s="1" t="str">
        <f>IF(F878&lt;6,"Night",
IF(F878&lt;12,"Morning",
IF(F878&lt;17,"Afternoon",
IF(F878&lt;21,"Evening","Night"))))</f>
        <v>Morning</v>
      </c>
      <c r="V878" s="1" t="str">
        <f>IF(J878&lt;0.3,"Cold",
IF(J878&lt;0.6,"Pleasant","Hot"))</f>
        <v>Cold</v>
      </c>
      <c r="W878" s="1" t="str">
        <f>IF(L878&lt;0.4,"Low",
IF(L878&lt;0.7,"Medium","High"))</f>
        <v>Low</v>
      </c>
      <c r="X878" s="1" t="str">
        <f>IF(M878&lt;0.2,"Low",
IF(M878&lt;0.4,"Medium","High"))</f>
        <v>Low</v>
      </c>
      <c r="Y878" s="1" t="str">
        <f>IF(P878&lt;100,"Low",
IF(P878&lt;300,"Medium","High"))</f>
        <v>Medium</v>
      </c>
    </row>
    <row r="879" spans="1:25" x14ac:dyDescent="0.3">
      <c r="A879">
        <v>887</v>
      </c>
      <c r="B879" s="2">
        <v>40583</v>
      </c>
      <c r="C879">
        <v>1</v>
      </c>
      <c r="D879">
        <v>0</v>
      </c>
      <c r="E879">
        <v>2</v>
      </c>
      <c r="F879">
        <v>10</v>
      </c>
      <c r="G879" t="b">
        <v>0</v>
      </c>
      <c r="H879">
        <v>3</v>
      </c>
      <c r="I879">
        <v>1</v>
      </c>
      <c r="J879">
        <v>0.14000000000000001</v>
      </c>
      <c r="K879">
        <v>0.18179999999999999</v>
      </c>
      <c r="L879">
        <v>0.36</v>
      </c>
      <c r="M879">
        <v>0</v>
      </c>
      <c r="N879">
        <v>8</v>
      </c>
      <c r="O879">
        <v>51</v>
      </c>
      <c r="P879">
        <v>59</v>
      </c>
      <c r="Q879" t="str">
        <f>VLOOKUP(MasterData[[#This Row],[season]],[1]Lookup!$A$2:$B$5,2,FALSE)</f>
        <v>Spring</v>
      </c>
      <c r="R879" t="str">
        <f>TEXT(DATE(2026,E879,1),"mmmm")</f>
        <v>February</v>
      </c>
      <c r="S879" t="str">
        <f>IF(OR(H879=0,H879=6),"Weekend","Weekday")</f>
        <v>Weekday</v>
      </c>
      <c r="T879" s="1" t="str">
        <f>VLOOKUP(I879,[1]Lookup!$D$2:$E$5,2,FALSE)</f>
        <v>Clear</v>
      </c>
      <c r="U879" s="1" t="str">
        <f>IF(F879&lt;6,"Night",
IF(F879&lt;12,"Morning",
IF(F879&lt;17,"Afternoon",
IF(F879&lt;21,"Evening","Night"))))</f>
        <v>Morning</v>
      </c>
      <c r="V879" s="1" t="str">
        <f>IF(J879&lt;0.3,"Cold",
IF(J879&lt;0.6,"Pleasant","Hot"))</f>
        <v>Cold</v>
      </c>
      <c r="W879" s="1" t="str">
        <f>IF(L879&lt;0.4,"Low",
IF(L879&lt;0.7,"Medium","High"))</f>
        <v>Low</v>
      </c>
      <c r="X879" s="1" t="str">
        <f>IF(M879&lt;0.2,"Low",
IF(M879&lt;0.4,"Medium","High"))</f>
        <v>Low</v>
      </c>
      <c r="Y879" s="1" t="str">
        <f>IF(P879&lt;100,"Low",
IF(P879&lt;300,"Medium","High"))</f>
        <v>Low</v>
      </c>
    </row>
    <row r="880" spans="1:25" x14ac:dyDescent="0.3">
      <c r="A880">
        <v>888</v>
      </c>
      <c r="B880" s="2">
        <v>40583</v>
      </c>
      <c r="C880">
        <v>1</v>
      </c>
      <c r="D880">
        <v>0</v>
      </c>
      <c r="E880">
        <v>2</v>
      </c>
      <c r="F880">
        <v>11</v>
      </c>
      <c r="G880" t="b">
        <v>0</v>
      </c>
      <c r="H880">
        <v>3</v>
      </c>
      <c r="I880">
        <v>2</v>
      </c>
      <c r="J880">
        <v>0.14000000000000001</v>
      </c>
      <c r="K880">
        <v>0.1515</v>
      </c>
      <c r="L880">
        <v>0.43</v>
      </c>
      <c r="M880">
        <v>0.16420000000000001</v>
      </c>
      <c r="N880">
        <v>1</v>
      </c>
      <c r="O880">
        <v>40</v>
      </c>
      <c r="P880">
        <v>41</v>
      </c>
      <c r="Q880" t="str">
        <f>VLOOKUP(MasterData[[#This Row],[season]],[1]Lookup!$A$2:$B$5,2,FALSE)</f>
        <v>Spring</v>
      </c>
      <c r="R880" t="str">
        <f>TEXT(DATE(2026,E880,1),"mmmm")</f>
        <v>February</v>
      </c>
      <c r="S880" t="str">
        <f>IF(OR(H880=0,H880=6),"Weekend","Weekday")</f>
        <v>Weekday</v>
      </c>
      <c r="T880" s="1" t="str">
        <f>VLOOKUP(I880,[1]Lookup!$D$2:$E$5,2,FALSE)</f>
        <v>Mist / Cloudy</v>
      </c>
      <c r="U880" s="1" t="str">
        <f>IF(F880&lt;6,"Night",
IF(F880&lt;12,"Morning",
IF(F880&lt;17,"Afternoon",
IF(F880&lt;21,"Evening","Night"))))</f>
        <v>Morning</v>
      </c>
      <c r="V880" s="1" t="str">
        <f>IF(J880&lt;0.3,"Cold",
IF(J880&lt;0.6,"Pleasant","Hot"))</f>
        <v>Cold</v>
      </c>
      <c r="W880" s="1" t="str">
        <f>IF(L880&lt;0.4,"Low",
IF(L880&lt;0.7,"Medium","High"))</f>
        <v>Medium</v>
      </c>
      <c r="X880" s="1" t="str">
        <f>IF(M880&lt;0.2,"Low",
IF(M880&lt;0.4,"Medium","High"))</f>
        <v>Low</v>
      </c>
      <c r="Y880" s="1" t="str">
        <f>IF(P880&lt;100,"Low",
IF(P880&lt;300,"Medium","High"))</f>
        <v>Low</v>
      </c>
    </row>
    <row r="881" spans="1:25" x14ac:dyDescent="0.3">
      <c r="A881">
        <v>889</v>
      </c>
      <c r="B881" s="2">
        <v>40583</v>
      </c>
      <c r="C881">
        <v>1</v>
      </c>
      <c r="D881">
        <v>0</v>
      </c>
      <c r="E881">
        <v>2</v>
      </c>
      <c r="F881">
        <v>12</v>
      </c>
      <c r="G881" t="b">
        <v>0</v>
      </c>
      <c r="H881">
        <v>3</v>
      </c>
      <c r="I881">
        <v>2</v>
      </c>
      <c r="J881">
        <v>0.18</v>
      </c>
      <c r="K881">
        <v>0.18179999999999999</v>
      </c>
      <c r="L881">
        <v>0.4</v>
      </c>
      <c r="M881">
        <v>0.22389999999999999</v>
      </c>
      <c r="N881">
        <v>4</v>
      </c>
      <c r="O881">
        <v>57</v>
      </c>
      <c r="P881">
        <v>61</v>
      </c>
      <c r="Q881" t="str">
        <f>VLOOKUP(MasterData[[#This Row],[season]],[1]Lookup!$A$2:$B$5,2,FALSE)</f>
        <v>Spring</v>
      </c>
      <c r="R881" t="str">
        <f>TEXT(DATE(2026,E881,1),"mmmm")</f>
        <v>February</v>
      </c>
      <c r="S881" t="str">
        <f>IF(OR(H881=0,H881=6),"Weekend","Weekday")</f>
        <v>Weekday</v>
      </c>
      <c r="T881" s="1" t="str">
        <f>VLOOKUP(I881,[1]Lookup!$D$2:$E$5,2,FALSE)</f>
        <v>Mist / Cloudy</v>
      </c>
      <c r="U881" s="1" t="str">
        <f>IF(F881&lt;6,"Night",
IF(F881&lt;12,"Morning",
IF(F881&lt;17,"Afternoon",
IF(F881&lt;21,"Evening","Night"))))</f>
        <v>Afternoon</v>
      </c>
      <c r="V881" s="1" t="str">
        <f>IF(J881&lt;0.3,"Cold",
IF(J881&lt;0.6,"Pleasant","Hot"))</f>
        <v>Cold</v>
      </c>
      <c r="W881" s="1" t="str">
        <f>IF(L881&lt;0.4,"Low",
IF(L881&lt;0.7,"Medium","High"))</f>
        <v>Medium</v>
      </c>
      <c r="X881" s="1" t="str">
        <f>IF(M881&lt;0.2,"Low",
IF(M881&lt;0.4,"Medium","High"))</f>
        <v>Medium</v>
      </c>
      <c r="Y881" s="1" t="str">
        <f>IF(P881&lt;100,"Low",
IF(P881&lt;300,"Medium","High"))</f>
        <v>Low</v>
      </c>
    </row>
    <row r="882" spans="1:25" x14ac:dyDescent="0.3">
      <c r="A882">
        <v>890</v>
      </c>
      <c r="B882" s="2">
        <v>40583</v>
      </c>
      <c r="C882">
        <v>1</v>
      </c>
      <c r="D882">
        <v>0</v>
      </c>
      <c r="E882">
        <v>2</v>
      </c>
      <c r="F882">
        <v>13</v>
      </c>
      <c r="G882" t="b">
        <v>0</v>
      </c>
      <c r="H882">
        <v>3</v>
      </c>
      <c r="I882">
        <v>1</v>
      </c>
      <c r="J882">
        <v>0.18</v>
      </c>
      <c r="K882">
        <v>0.16669999999999999</v>
      </c>
      <c r="L882">
        <v>0.4</v>
      </c>
      <c r="M882">
        <v>0.25369999999999998</v>
      </c>
      <c r="N882">
        <v>2</v>
      </c>
      <c r="O882">
        <v>67</v>
      </c>
      <c r="P882">
        <v>69</v>
      </c>
      <c r="Q882" t="str">
        <f>VLOOKUP(MasterData[[#This Row],[season]],[1]Lookup!$A$2:$B$5,2,FALSE)</f>
        <v>Spring</v>
      </c>
      <c r="R882" t="str">
        <f>TEXT(DATE(2026,E882,1),"mmmm")</f>
        <v>February</v>
      </c>
      <c r="S882" t="str">
        <f>IF(OR(H882=0,H882=6),"Weekend","Weekday")</f>
        <v>Weekday</v>
      </c>
      <c r="T882" s="1" t="str">
        <f>VLOOKUP(I882,[1]Lookup!$D$2:$E$5,2,FALSE)</f>
        <v>Clear</v>
      </c>
      <c r="U882" s="1" t="str">
        <f>IF(F882&lt;6,"Night",
IF(F882&lt;12,"Morning",
IF(F882&lt;17,"Afternoon",
IF(F882&lt;21,"Evening","Night"))))</f>
        <v>Afternoon</v>
      </c>
      <c r="V882" s="1" t="str">
        <f>IF(J882&lt;0.3,"Cold",
IF(J882&lt;0.6,"Pleasant","Hot"))</f>
        <v>Cold</v>
      </c>
      <c r="W882" s="1" t="str">
        <f>IF(L882&lt;0.4,"Low",
IF(L882&lt;0.7,"Medium","High"))</f>
        <v>Medium</v>
      </c>
      <c r="X882" s="1" t="str">
        <f>IF(M882&lt;0.2,"Low",
IF(M882&lt;0.4,"Medium","High"))</f>
        <v>Medium</v>
      </c>
      <c r="Y882" s="1" t="str">
        <f>IF(P882&lt;100,"Low",
IF(P882&lt;300,"Medium","High"))</f>
        <v>Low</v>
      </c>
    </row>
    <row r="883" spans="1:25" x14ac:dyDescent="0.3">
      <c r="A883">
        <v>891</v>
      </c>
      <c r="B883" s="2">
        <v>40583</v>
      </c>
      <c r="C883">
        <v>1</v>
      </c>
      <c r="D883">
        <v>0</v>
      </c>
      <c r="E883">
        <v>2</v>
      </c>
      <c r="F883">
        <v>14</v>
      </c>
      <c r="G883" t="b">
        <v>0</v>
      </c>
      <c r="H883">
        <v>3</v>
      </c>
      <c r="I883">
        <v>1</v>
      </c>
      <c r="J883">
        <v>0.2</v>
      </c>
      <c r="K883">
        <v>0.18179999999999999</v>
      </c>
      <c r="L883">
        <v>0.34</v>
      </c>
      <c r="M883">
        <v>0.29849999999999999</v>
      </c>
      <c r="N883">
        <v>2</v>
      </c>
      <c r="O883">
        <v>56</v>
      </c>
      <c r="P883">
        <v>58</v>
      </c>
      <c r="Q883" t="str">
        <f>VLOOKUP(MasterData[[#This Row],[season]],[1]Lookup!$A$2:$B$5,2,FALSE)</f>
        <v>Spring</v>
      </c>
      <c r="R883" t="str">
        <f>TEXT(DATE(2026,E883,1),"mmmm")</f>
        <v>February</v>
      </c>
      <c r="S883" t="str">
        <f>IF(OR(H883=0,H883=6),"Weekend","Weekday")</f>
        <v>Weekday</v>
      </c>
      <c r="T883" s="1" t="str">
        <f>VLOOKUP(I883,[1]Lookup!$D$2:$E$5,2,FALSE)</f>
        <v>Clear</v>
      </c>
      <c r="U883" s="1" t="str">
        <f>IF(F883&lt;6,"Night",
IF(F883&lt;12,"Morning",
IF(F883&lt;17,"Afternoon",
IF(F883&lt;21,"Evening","Night"))))</f>
        <v>Afternoon</v>
      </c>
      <c r="V883" s="1" t="str">
        <f>IF(J883&lt;0.3,"Cold",
IF(J883&lt;0.6,"Pleasant","Hot"))</f>
        <v>Cold</v>
      </c>
      <c r="W883" s="1" t="str">
        <f>IF(L883&lt;0.4,"Low",
IF(L883&lt;0.7,"Medium","High"))</f>
        <v>Low</v>
      </c>
      <c r="X883" s="1" t="str">
        <f>IF(M883&lt;0.2,"Low",
IF(M883&lt;0.4,"Medium","High"))</f>
        <v>Medium</v>
      </c>
      <c r="Y883" s="1" t="str">
        <f>IF(P883&lt;100,"Low",
IF(P883&lt;300,"Medium","High"))</f>
        <v>Low</v>
      </c>
    </row>
    <row r="884" spans="1:25" x14ac:dyDescent="0.3">
      <c r="A884">
        <v>892</v>
      </c>
      <c r="B884" s="2">
        <v>40583</v>
      </c>
      <c r="C884">
        <v>1</v>
      </c>
      <c r="D884">
        <v>0</v>
      </c>
      <c r="E884">
        <v>2</v>
      </c>
      <c r="F884">
        <v>15</v>
      </c>
      <c r="G884" t="b">
        <v>0</v>
      </c>
      <c r="H884">
        <v>3</v>
      </c>
      <c r="I884">
        <v>2</v>
      </c>
      <c r="J884">
        <v>0.2</v>
      </c>
      <c r="K884">
        <v>0.18179999999999999</v>
      </c>
      <c r="L884">
        <v>0.34</v>
      </c>
      <c r="M884">
        <v>0.28360000000000002</v>
      </c>
      <c r="N884">
        <v>3</v>
      </c>
      <c r="O884">
        <v>61</v>
      </c>
      <c r="P884">
        <v>64</v>
      </c>
      <c r="Q884" t="str">
        <f>VLOOKUP(MasterData[[#This Row],[season]],[1]Lookup!$A$2:$B$5,2,FALSE)</f>
        <v>Spring</v>
      </c>
      <c r="R884" t="str">
        <f>TEXT(DATE(2026,E884,1),"mmmm")</f>
        <v>February</v>
      </c>
      <c r="S884" t="str">
        <f>IF(OR(H884=0,H884=6),"Weekend","Weekday")</f>
        <v>Weekday</v>
      </c>
      <c r="T884" s="1" t="str">
        <f>VLOOKUP(I884,[1]Lookup!$D$2:$E$5,2,FALSE)</f>
        <v>Mist / Cloudy</v>
      </c>
      <c r="U884" s="1" t="str">
        <f>IF(F884&lt;6,"Night",
IF(F884&lt;12,"Morning",
IF(F884&lt;17,"Afternoon",
IF(F884&lt;21,"Evening","Night"))))</f>
        <v>Afternoon</v>
      </c>
      <c r="V884" s="1" t="str">
        <f>IF(J884&lt;0.3,"Cold",
IF(J884&lt;0.6,"Pleasant","Hot"))</f>
        <v>Cold</v>
      </c>
      <c r="W884" s="1" t="str">
        <f>IF(L884&lt;0.4,"Low",
IF(L884&lt;0.7,"Medium","High"))</f>
        <v>Low</v>
      </c>
      <c r="X884" s="1" t="str">
        <f>IF(M884&lt;0.2,"Low",
IF(M884&lt;0.4,"Medium","High"))</f>
        <v>Medium</v>
      </c>
      <c r="Y884" s="1" t="str">
        <f>IF(P884&lt;100,"Low",
IF(P884&lt;300,"Medium","High"))</f>
        <v>Low</v>
      </c>
    </row>
    <row r="885" spans="1:25" x14ac:dyDescent="0.3">
      <c r="A885">
        <v>893</v>
      </c>
      <c r="B885" s="2">
        <v>40583</v>
      </c>
      <c r="C885">
        <v>1</v>
      </c>
      <c r="D885">
        <v>0</v>
      </c>
      <c r="E885">
        <v>2</v>
      </c>
      <c r="F885">
        <v>16</v>
      </c>
      <c r="G885" t="b">
        <v>0</v>
      </c>
      <c r="H885">
        <v>3</v>
      </c>
      <c r="I885">
        <v>2</v>
      </c>
      <c r="J885">
        <v>0.2</v>
      </c>
      <c r="K885">
        <v>0.19700000000000001</v>
      </c>
      <c r="L885">
        <v>0.37</v>
      </c>
      <c r="M885">
        <v>0.25369999999999998</v>
      </c>
      <c r="N885">
        <v>7</v>
      </c>
      <c r="O885">
        <v>72</v>
      </c>
      <c r="P885">
        <v>79</v>
      </c>
      <c r="Q885" t="str">
        <f>VLOOKUP(MasterData[[#This Row],[season]],[1]Lookup!$A$2:$B$5,2,FALSE)</f>
        <v>Spring</v>
      </c>
      <c r="R885" t="str">
        <f>TEXT(DATE(2026,E885,1),"mmmm")</f>
        <v>February</v>
      </c>
      <c r="S885" t="str">
        <f>IF(OR(H885=0,H885=6),"Weekend","Weekday")</f>
        <v>Weekday</v>
      </c>
      <c r="T885" s="1" t="str">
        <f>VLOOKUP(I885,[1]Lookup!$D$2:$E$5,2,FALSE)</f>
        <v>Mist / Cloudy</v>
      </c>
      <c r="U885" s="1" t="str">
        <f>IF(F885&lt;6,"Night",
IF(F885&lt;12,"Morning",
IF(F885&lt;17,"Afternoon",
IF(F885&lt;21,"Evening","Night"))))</f>
        <v>Afternoon</v>
      </c>
      <c r="V885" s="1" t="str">
        <f>IF(J885&lt;0.3,"Cold",
IF(J885&lt;0.6,"Pleasant","Hot"))</f>
        <v>Cold</v>
      </c>
      <c r="W885" s="1" t="str">
        <f>IF(L885&lt;0.4,"Low",
IF(L885&lt;0.7,"Medium","High"))</f>
        <v>Low</v>
      </c>
      <c r="X885" s="1" t="str">
        <f>IF(M885&lt;0.2,"Low",
IF(M885&lt;0.4,"Medium","High"))</f>
        <v>Medium</v>
      </c>
      <c r="Y885" s="1" t="str">
        <f>IF(P885&lt;100,"Low",
IF(P885&lt;300,"Medium","High"))</f>
        <v>Low</v>
      </c>
    </row>
    <row r="886" spans="1:25" x14ac:dyDescent="0.3">
      <c r="A886">
        <v>894</v>
      </c>
      <c r="B886" s="2">
        <v>40583</v>
      </c>
      <c r="C886">
        <v>1</v>
      </c>
      <c r="D886">
        <v>0</v>
      </c>
      <c r="E886">
        <v>2</v>
      </c>
      <c r="F886">
        <v>17</v>
      </c>
      <c r="G886" t="b">
        <v>0</v>
      </c>
      <c r="H886">
        <v>3</v>
      </c>
      <c r="I886">
        <v>2</v>
      </c>
      <c r="J886">
        <v>0.2</v>
      </c>
      <c r="K886">
        <v>0.19700000000000001</v>
      </c>
      <c r="L886">
        <v>0.34</v>
      </c>
      <c r="M886">
        <v>0.25369999999999998</v>
      </c>
      <c r="N886">
        <v>9</v>
      </c>
      <c r="O886">
        <v>157</v>
      </c>
      <c r="P886">
        <v>166</v>
      </c>
      <c r="Q886" t="str">
        <f>VLOOKUP(MasterData[[#This Row],[season]],[1]Lookup!$A$2:$B$5,2,FALSE)</f>
        <v>Spring</v>
      </c>
      <c r="R886" t="str">
        <f>TEXT(DATE(2026,E886,1),"mmmm")</f>
        <v>February</v>
      </c>
      <c r="S886" t="str">
        <f>IF(OR(H886=0,H886=6),"Weekend","Weekday")</f>
        <v>Weekday</v>
      </c>
      <c r="T886" s="1" t="str">
        <f>VLOOKUP(I886,[1]Lookup!$D$2:$E$5,2,FALSE)</f>
        <v>Mist / Cloudy</v>
      </c>
      <c r="U886" s="1" t="str">
        <f>IF(F886&lt;6,"Night",
IF(F886&lt;12,"Morning",
IF(F886&lt;17,"Afternoon",
IF(F886&lt;21,"Evening","Night"))))</f>
        <v>Evening</v>
      </c>
      <c r="V886" s="1" t="str">
        <f>IF(J886&lt;0.3,"Cold",
IF(J886&lt;0.6,"Pleasant","Hot"))</f>
        <v>Cold</v>
      </c>
      <c r="W886" s="1" t="str">
        <f>IF(L886&lt;0.4,"Low",
IF(L886&lt;0.7,"Medium","High"))</f>
        <v>Low</v>
      </c>
      <c r="X886" s="1" t="str">
        <f>IF(M886&lt;0.2,"Low",
IF(M886&lt;0.4,"Medium","High"))</f>
        <v>Medium</v>
      </c>
      <c r="Y886" s="1" t="str">
        <f>IF(P886&lt;100,"Low",
IF(P886&lt;300,"Medium","High"))</f>
        <v>Medium</v>
      </c>
    </row>
    <row r="887" spans="1:25" x14ac:dyDescent="0.3">
      <c r="A887">
        <v>895</v>
      </c>
      <c r="B887" s="2">
        <v>40583</v>
      </c>
      <c r="C887">
        <v>1</v>
      </c>
      <c r="D887">
        <v>0</v>
      </c>
      <c r="E887">
        <v>2</v>
      </c>
      <c r="F887">
        <v>18</v>
      </c>
      <c r="G887" t="b">
        <v>0</v>
      </c>
      <c r="H887">
        <v>3</v>
      </c>
      <c r="I887">
        <v>2</v>
      </c>
      <c r="J887">
        <v>0.18</v>
      </c>
      <c r="K887">
        <v>0.16669999999999999</v>
      </c>
      <c r="L887">
        <v>0.47</v>
      </c>
      <c r="M887">
        <v>0.29849999999999999</v>
      </c>
      <c r="N887">
        <v>2</v>
      </c>
      <c r="O887">
        <v>168</v>
      </c>
      <c r="P887">
        <v>170</v>
      </c>
      <c r="Q887" t="str">
        <f>VLOOKUP(MasterData[[#This Row],[season]],[1]Lookup!$A$2:$B$5,2,FALSE)</f>
        <v>Spring</v>
      </c>
      <c r="R887" t="str">
        <f>TEXT(DATE(2026,E887,1),"mmmm")</f>
        <v>February</v>
      </c>
      <c r="S887" t="str">
        <f>IF(OR(H887=0,H887=6),"Weekend","Weekday")</f>
        <v>Weekday</v>
      </c>
      <c r="T887" s="1" t="str">
        <f>VLOOKUP(I887,[1]Lookup!$D$2:$E$5,2,FALSE)</f>
        <v>Mist / Cloudy</v>
      </c>
      <c r="U887" s="1" t="str">
        <f>IF(F887&lt;6,"Night",
IF(F887&lt;12,"Morning",
IF(F887&lt;17,"Afternoon",
IF(F887&lt;21,"Evening","Night"))))</f>
        <v>Evening</v>
      </c>
      <c r="V887" s="1" t="str">
        <f>IF(J887&lt;0.3,"Cold",
IF(J887&lt;0.6,"Pleasant","Hot"))</f>
        <v>Cold</v>
      </c>
      <c r="W887" s="1" t="str">
        <f>IF(L887&lt;0.4,"Low",
IF(L887&lt;0.7,"Medium","High"))</f>
        <v>Medium</v>
      </c>
      <c r="X887" s="1" t="str">
        <f>IF(M887&lt;0.2,"Low",
IF(M887&lt;0.4,"Medium","High"))</f>
        <v>Medium</v>
      </c>
      <c r="Y887" s="1" t="str">
        <f>IF(P887&lt;100,"Low",
IF(P887&lt;300,"Medium","High"))</f>
        <v>Medium</v>
      </c>
    </row>
    <row r="888" spans="1:25" x14ac:dyDescent="0.3">
      <c r="A888">
        <v>896</v>
      </c>
      <c r="B888" s="2">
        <v>40583</v>
      </c>
      <c r="C888">
        <v>1</v>
      </c>
      <c r="D888">
        <v>0</v>
      </c>
      <c r="E888">
        <v>2</v>
      </c>
      <c r="F888">
        <v>19</v>
      </c>
      <c r="G888" t="b">
        <v>0</v>
      </c>
      <c r="H888">
        <v>3</v>
      </c>
      <c r="I888">
        <v>3</v>
      </c>
      <c r="J888">
        <v>0.14000000000000001</v>
      </c>
      <c r="K888">
        <v>0.1212</v>
      </c>
      <c r="L888">
        <v>0.86</v>
      </c>
      <c r="M888">
        <v>0.25369999999999998</v>
      </c>
      <c r="N888">
        <v>1</v>
      </c>
      <c r="O888">
        <v>87</v>
      </c>
      <c r="P888">
        <v>88</v>
      </c>
      <c r="Q888" t="str">
        <f>VLOOKUP(MasterData[[#This Row],[season]],[1]Lookup!$A$2:$B$5,2,FALSE)</f>
        <v>Spring</v>
      </c>
      <c r="R888" t="str">
        <f>TEXT(DATE(2026,E888,1),"mmmm")</f>
        <v>February</v>
      </c>
      <c r="S888" t="str">
        <f>IF(OR(H888=0,H888=6),"Weekend","Weekday")</f>
        <v>Weekday</v>
      </c>
      <c r="T888" s="1" t="str">
        <f>VLOOKUP(I888,[1]Lookup!$D$2:$E$5,2,FALSE)</f>
        <v>Light Rain / Snow</v>
      </c>
      <c r="U888" s="1" t="str">
        <f>IF(F888&lt;6,"Night",
IF(F888&lt;12,"Morning",
IF(F888&lt;17,"Afternoon",
IF(F888&lt;21,"Evening","Night"))))</f>
        <v>Evening</v>
      </c>
      <c r="V888" s="1" t="str">
        <f>IF(J888&lt;0.3,"Cold",
IF(J888&lt;0.6,"Pleasant","Hot"))</f>
        <v>Cold</v>
      </c>
      <c r="W888" s="1" t="str">
        <f>IF(L888&lt;0.4,"Low",
IF(L888&lt;0.7,"Medium","High"))</f>
        <v>High</v>
      </c>
      <c r="X888" s="1" t="str">
        <f>IF(M888&lt;0.2,"Low",
IF(M888&lt;0.4,"Medium","High"))</f>
        <v>Medium</v>
      </c>
      <c r="Y888" s="1" t="str">
        <f>IF(P888&lt;100,"Low",
IF(P888&lt;300,"Medium","High"))</f>
        <v>Low</v>
      </c>
    </row>
    <row r="889" spans="1:25" x14ac:dyDescent="0.3">
      <c r="A889">
        <v>897</v>
      </c>
      <c r="B889" s="2">
        <v>40583</v>
      </c>
      <c r="C889">
        <v>1</v>
      </c>
      <c r="D889">
        <v>0</v>
      </c>
      <c r="E889">
        <v>2</v>
      </c>
      <c r="F889">
        <v>20</v>
      </c>
      <c r="G889" t="b">
        <v>0</v>
      </c>
      <c r="H889">
        <v>3</v>
      </c>
      <c r="I889">
        <v>3</v>
      </c>
      <c r="J889">
        <v>0.14000000000000001</v>
      </c>
      <c r="K889">
        <v>0.1515</v>
      </c>
      <c r="L889">
        <v>0.86</v>
      </c>
      <c r="M889">
        <v>0.16420000000000001</v>
      </c>
      <c r="N889">
        <v>0</v>
      </c>
      <c r="O889">
        <v>84</v>
      </c>
      <c r="P889">
        <v>84</v>
      </c>
      <c r="Q889" t="str">
        <f>VLOOKUP(MasterData[[#This Row],[season]],[1]Lookup!$A$2:$B$5,2,FALSE)</f>
        <v>Spring</v>
      </c>
      <c r="R889" t="str">
        <f>TEXT(DATE(2026,E889,1),"mmmm")</f>
        <v>February</v>
      </c>
      <c r="S889" t="str">
        <f>IF(OR(H889=0,H889=6),"Weekend","Weekday")</f>
        <v>Weekday</v>
      </c>
      <c r="T889" s="1" t="str">
        <f>VLOOKUP(I889,[1]Lookup!$D$2:$E$5,2,FALSE)</f>
        <v>Light Rain / Snow</v>
      </c>
      <c r="U889" s="1" t="str">
        <f>IF(F889&lt;6,"Night",
IF(F889&lt;12,"Morning",
IF(F889&lt;17,"Afternoon",
IF(F889&lt;21,"Evening","Night"))))</f>
        <v>Evening</v>
      </c>
      <c r="V889" s="1" t="str">
        <f>IF(J889&lt;0.3,"Cold",
IF(J889&lt;0.6,"Pleasant","Hot"))</f>
        <v>Cold</v>
      </c>
      <c r="W889" s="1" t="str">
        <f>IF(L889&lt;0.4,"Low",
IF(L889&lt;0.7,"Medium","High"))</f>
        <v>High</v>
      </c>
      <c r="X889" s="1" t="str">
        <f>IF(M889&lt;0.2,"Low",
IF(M889&lt;0.4,"Medium","High"))</f>
        <v>Low</v>
      </c>
      <c r="Y889" s="1" t="str">
        <f>IF(P889&lt;100,"Low",
IF(P889&lt;300,"Medium","High"))</f>
        <v>Low</v>
      </c>
    </row>
    <row r="890" spans="1:25" x14ac:dyDescent="0.3">
      <c r="A890">
        <v>898</v>
      </c>
      <c r="B890" s="2">
        <v>40583</v>
      </c>
      <c r="C890">
        <v>1</v>
      </c>
      <c r="D890">
        <v>0</v>
      </c>
      <c r="E890">
        <v>2</v>
      </c>
      <c r="F890">
        <v>21</v>
      </c>
      <c r="G890" t="b">
        <v>0</v>
      </c>
      <c r="H890">
        <v>3</v>
      </c>
      <c r="I890">
        <v>2</v>
      </c>
      <c r="J890">
        <v>0.14000000000000001</v>
      </c>
      <c r="K890">
        <v>0.1515</v>
      </c>
      <c r="L890">
        <v>0.86</v>
      </c>
      <c r="M890">
        <v>0.16420000000000001</v>
      </c>
      <c r="N890">
        <v>0</v>
      </c>
      <c r="O890">
        <v>83</v>
      </c>
      <c r="P890">
        <v>83</v>
      </c>
      <c r="Q890" t="str">
        <f>VLOOKUP(MasterData[[#This Row],[season]],[1]Lookup!$A$2:$B$5,2,FALSE)</f>
        <v>Spring</v>
      </c>
      <c r="R890" t="str">
        <f>TEXT(DATE(2026,E890,1),"mmmm")</f>
        <v>February</v>
      </c>
      <c r="S890" t="str">
        <f>IF(OR(H890=0,H890=6),"Weekend","Weekday")</f>
        <v>Weekday</v>
      </c>
      <c r="T890" s="1" t="str">
        <f>VLOOKUP(I890,[1]Lookup!$D$2:$E$5,2,FALSE)</f>
        <v>Mist / Cloudy</v>
      </c>
      <c r="U890" s="1" t="str">
        <f>IF(F890&lt;6,"Night",
IF(F890&lt;12,"Morning",
IF(F890&lt;17,"Afternoon",
IF(F890&lt;21,"Evening","Night"))))</f>
        <v>Night</v>
      </c>
      <c r="V890" s="1" t="str">
        <f>IF(J890&lt;0.3,"Cold",
IF(J890&lt;0.6,"Pleasant","Hot"))</f>
        <v>Cold</v>
      </c>
      <c r="W890" s="1" t="str">
        <f>IF(L890&lt;0.4,"Low",
IF(L890&lt;0.7,"Medium","High"))</f>
        <v>High</v>
      </c>
      <c r="X890" s="1" t="str">
        <f>IF(M890&lt;0.2,"Low",
IF(M890&lt;0.4,"Medium","High"))</f>
        <v>Low</v>
      </c>
      <c r="Y890" s="1" t="str">
        <f>IF(P890&lt;100,"Low",
IF(P890&lt;300,"Medium","High"))</f>
        <v>Low</v>
      </c>
    </row>
    <row r="891" spans="1:25" x14ac:dyDescent="0.3">
      <c r="A891">
        <v>899</v>
      </c>
      <c r="B891" s="2">
        <v>40583</v>
      </c>
      <c r="C891">
        <v>1</v>
      </c>
      <c r="D891">
        <v>0</v>
      </c>
      <c r="E891">
        <v>2</v>
      </c>
      <c r="F891">
        <v>22</v>
      </c>
      <c r="G891" t="b">
        <v>0</v>
      </c>
      <c r="H891">
        <v>3</v>
      </c>
      <c r="I891">
        <v>3</v>
      </c>
      <c r="J891">
        <v>0.16</v>
      </c>
      <c r="K891">
        <v>0.16669999999999999</v>
      </c>
      <c r="L891">
        <v>0.8</v>
      </c>
      <c r="M891">
        <v>0.16420000000000001</v>
      </c>
      <c r="N891">
        <v>4</v>
      </c>
      <c r="O891">
        <v>42</v>
      </c>
      <c r="P891">
        <v>46</v>
      </c>
      <c r="Q891" t="str">
        <f>VLOOKUP(MasterData[[#This Row],[season]],[1]Lookup!$A$2:$B$5,2,FALSE)</f>
        <v>Spring</v>
      </c>
      <c r="R891" t="str">
        <f>TEXT(DATE(2026,E891,1),"mmmm")</f>
        <v>February</v>
      </c>
      <c r="S891" t="str">
        <f>IF(OR(H891=0,H891=6),"Weekend","Weekday")</f>
        <v>Weekday</v>
      </c>
      <c r="T891" s="1" t="str">
        <f>VLOOKUP(I891,[1]Lookup!$D$2:$E$5,2,FALSE)</f>
        <v>Light Rain / Snow</v>
      </c>
      <c r="U891" s="1" t="str">
        <f>IF(F891&lt;6,"Night",
IF(F891&lt;12,"Morning",
IF(F891&lt;17,"Afternoon",
IF(F891&lt;21,"Evening","Night"))))</f>
        <v>Night</v>
      </c>
      <c r="V891" s="1" t="str">
        <f>IF(J891&lt;0.3,"Cold",
IF(J891&lt;0.6,"Pleasant","Hot"))</f>
        <v>Cold</v>
      </c>
      <c r="W891" s="1" t="str">
        <f>IF(L891&lt;0.4,"Low",
IF(L891&lt;0.7,"Medium","High"))</f>
        <v>High</v>
      </c>
      <c r="X891" s="1" t="str">
        <f>IF(M891&lt;0.2,"Low",
IF(M891&lt;0.4,"Medium","High"))</f>
        <v>Low</v>
      </c>
      <c r="Y891" s="1" t="str">
        <f>IF(P891&lt;100,"Low",
IF(P891&lt;300,"Medium","High"))</f>
        <v>Low</v>
      </c>
    </row>
    <row r="892" spans="1:25" x14ac:dyDescent="0.3">
      <c r="A892">
        <v>900</v>
      </c>
      <c r="B892" s="2">
        <v>40583</v>
      </c>
      <c r="C892">
        <v>1</v>
      </c>
      <c r="D892">
        <v>0</v>
      </c>
      <c r="E892">
        <v>2</v>
      </c>
      <c r="F892">
        <v>23</v>
      </c>
      <c r="G892" t="b">
        <v>0</v>
      </c>
      <c r="H892">
        <v>3</v>
      </c>
      <c r="I892">
        <v>3</v>
      </c>
      <c r="J892">
        <v>0.16</v>
      </c>
      <c r="K892">
        <v>0.1515</v>
      </c>
      <c r="L892">
        <v>0.8</v>
      </c>
      <c r="M892">
        <v>0.19400000000000001</v>
      </c>
      <c r="N892">
        <v>0</v>
      </c>
      <c r="O892">
        <v>37</v>
      </c>
      <c r="P892">
        <v>37</v>
      </c>
      <c r="Q892" t="str">
        <f>VLOOKUP(MasterData[[#This Row],[season]],[1]Lookup!$A$2:$B$5,2,FALSE)</f>
        <v>Spring</v>
      </c>
      <c r="R892" t="str">
        <f>TEXT(DATE(2026,E892,1),"mmmm")</f>
        <v>February</v>
      </c>
      <c r="S892" t="str">
        <f>IF(OR(H892=0,H892=6),"Weekend","Weekday")</f>
        <v>Weekday</v>
      </c>
      <c r="T892" s="1" t="str">
        <f>VLOOKUP(I892,[1]Lookup!$D$2:$E$5,2,FALSE)</f>
        <v>Light Rain / Snow</v>
      </c>
      <c r="U892" s="1" t="str">
        <f>IF(F892&lt;6,"Night",
IF(F892&lt;12,"Morning",
IF(F892&lt;17,"Afternoon",
IF(F892&lt;21,"Evening","Night"))))</f>
        <v>Night</v>
      </c>
      <c r="V892" s="1" t="str">
        <f>IF(J892&lt;0.3,"Cold",
IF(J892&lt;0.6,"Pleasant","Hot"))</f>
        <v>Cold</v>
      </c>
      <c r="W892" s="1" t="str">
        <f>IF(L892&lt;0.4,"Low",
IF(L892&lt;0.7,"Medium","High"))</f>
        <v>High</v>
      </c>
      <c r="X892" s="1" t="str">
        <f>IF(M892&lt;0.2,"Low",
IF(M892&lt;0.4,"Medium","High"))</f>
        <v>Low</v>
      </c>
      <c r="Y892" s="1" t="str">
        <f>IF(P892&lt;100,"Low",
IF(P892&lt;300,"Medium","High"))</f>
        <v>Low</v>
      </c>
    </row>
    <row r="893" spans="1:25" x14ac:dyDescent="0.3">
      <c r="A893">
        <v>901</v>
      </c>
      <c r="B893" s="2">
        <v>40584</v>
      </c>
      <c r="C893">
        <v>1</v>
      </c>
      <c r="D893">
        <v>0</v>
      </c>
      <c r="E893">
        <v>2</v>
      </c>
      <c r="F893">
        <v>0</v>
      </c>
      <c r="G893" t="b">
        <v>0</v>
      </c>
      <c r="H893">
        <v>4</v>
      </c>
      <c r="I893">
        <v>3</v>
      </c>
      <c r="J893">
        <v>0.14000000000000001</v>
      </c>
      <c r="K893">
        <v>0.13639999999999999</v>
      </c>
      <c r="L893">
        <v>0.86</v>
      </c>
      <c r="M893">
        <v>0.19400000000000001</v>
      </c>
      <c r="N893">
        <v>0</v>
      </c>
      <c r="O893">
        <v>16</v>
      </c>
      <c r="P893">
        <v>16</v>
      </c>
      <c r="Q893" t="str">
        <f>VLOOKUP(MasterData[[#This Row],[season]],[1]Lookup!$A$2:$B$5,2,FALSE)</f>
        <v>Spring</v>
      </c>
      <c r="R893" t="str">
        <f>TEXT(DATE(2026,E893,1),"mmmm")</f>
        <v>February</v>
      </c>
      <c r="S893" t="str">
        <f>IF(OR(H893=0,H893=6),"Weekend","Weekday")</f>
        <v>Weekday</v>
      </c>
      <c r="T893" s="1" t="str">
        <f>VLOOKUP(I893,[1]Lookup!$D$2:$E$5,2,FALSE)</f>
        <v>Light Rain / Snow</v>
      </c>
      <c r="U893" s="1" t="str">
        <f>IF(F893&lt;6,"Night",
IF(F893&lt;12,"Morning",
IF(F893&lt;17,"Afternoon",
IF(F893&lt;21,"Evening","Night"))))</f>
        <v>Night</v>
      </c>
      <c r="V893" s="1" t="str">
        <f>IF(J893&lt;0.3,"Cold",
IF(J893&lt;0.6,"Pleasant","Hot"))</f>
        <v>Cold</v>
      </c>
      <c r="W893" s="1" t="str">
        <f>IF(L893&lt;0.4,"Low",
IF(L893&lt;0.7,"Medium","High"))</f>
        <v>High</v>
      </c>
      <c r="X893" s="1" t="str">
        <f>IF(M893&lt;0.2,"Low",
IF(M893&lt;0.4,"Medium","High"))</f>
        <v>Low</v>
      </c>
      <c r="Y893" s="1" t="str">
        <f>IF(P893&lt;100,"Low",
IF(P893&lt;300,"Medium","High"))</f>
        <v>Low</v>
      </c>
    </row>
    <row r="894" spans="1:25" x14ac:dyDescent="0.3">
      <c r="A894">
        <v>902</v>
      </c>
      <c r="B894" s="2">
        <v>40584</v>
      </c>
      <c r="C894">
        <v>1</v>
      </c>
      <c r="D894">
        <v>0</v>
      </c>
      <c r="E894">
        <v>2</v>
      </c>
      <c r="F894">
        <v>1</v>
      </c>
      <c r="G894" t="b">
        <v>0</v>
      </c>
      <c r="H894">
        <v>4</v>
      </c>
      <c r="I894">
        <v>3</v>
      </c>
      <c r="J894">
        <v>0.14000000000000001</v>
      </c>
      <c r="K894">
        <v>0.1515</v>
      </c>
      <c r="L894">
        <v>0.8</v>
      </c>
      <c r="M894">
        <v>0.1343</v>
      </c>
      <c r="N894">
        <v>0</v>
      </c>
      <c r="O894">
        <v>7</v>
      </c>
      <c r="P894">
        <v>7</v>
      </c>
      <c r="Q894" t="str">
        <f>VLOOKUP(MasterData[[#This Row],[season]],[1]Lookup!$A$2:$B$5,2,FALSE)</f>
        <v>Spring</v>
      </c>
      <c r="R894" t="str">
        <f>TEXT(DATE(2026,E894,1),"mmmm")</f>
        <v>February</v>
      </c>
      <c r="S894" t="str">
        <f>IF(OR(H894=0,H894=6),"Weekend","Weekday")</f>
        <v>Weekday</v>
      </c>
      <c r="T894" s="1" t="str">
        <f>VLOOKUP(I894,[1]Lookup!$D$2:$E$5,2,FALSE)</f>
        <v>Light Rain / Snow</v>
      </c>
      <c r="U894" s="1" t="str">
        <f>IF(F894&lt;6,"Night",
IF(F894&lt;12,"Morning",
IF(F894&lt;17,"Afternoon",
IF(F894&lt;21,"Evening","Night"))))</f>
        <v>Night</v>
      </c>
      <c r="V894" s="1" t="str">
        <f>IF(J894&lt;0.3,"Cold",
IF(J894&lt;0.6,"Pleasant","Hot"))</f>
        <v>Cold</v>
      </c>
      <c r="W894" s="1" t="str">
        <f>IF(L894&lt;0.4,"Low",
IF(L894&lt;0.7,"Medium","High"))</f>
        <v>High</v>
      </c>
      <c r="X894" s="1" t="str">
        <f>IF(M894&lt;0.2,"Low",
IF(M894&lt;0.4,"Medium","High"))</f>
        <v>Low</v>
      </c>
      <c r="Y894" s="1" t="str">
        <f>IF(P894&lt;100,"Low",
IF(P894&lt;300,"Medium","High"))</f>
        <v>Low</v>
      </c>
    </row>
    <row r="895" spans="1:25" x14ac:dyDescent="0.3">
      <c r="A895">
        <v>903</v>
      </c>
      <c r="B895" s="2">
        <v>40584</v>
      </c>
      <c r="C895">
        <v>1</v>
      </c>
      <c r="D895">
        <v>0</v>
      </c>
      <c r="E895">
        <v>2</v>
      </c>
      <c r="F895">
        <v>2</v>
      </c>
      <c r="G895" t="b">
        <v>0</v>
      </c>
      <c r="H895">
        <v>4</v>
      </c>
      <c r="I895">
        <v>3</v>
      </c>
      <c r="J895">
        <v>0.14000000000000001</v>
      </c>
      <c r="K895">
        <v>0.1515</v>
      </c>
      <c r="L895">
        <v>0.8</v>
      </c>
      <c r="M895">
        <v>0.1343</v>
      </c>
      <c r="N895">
        <v>0</v>
      </c>
      <c r="O895">
        <v>3</v>
      </c>
      <c r="P895">
        <v>3</v>
      </c>
      <c r="Q895" t="str">
        <f>VLOOKUP(MasterData[[#This Row],[season]],[1]Lookup!$A$2:$B$5,2,FALSE)</f>
        <v>Spring</v>
      </c>
      <c r="R895" t="str">
        <f>TEXT(DATE(2026,E895,1),"mmmm")</f>
        <v>February</v>
      </c>
      <c r="S895" t="str">
        <f>IF(OR(H895=0,H895=6),"Weekend","Weekday")</f>
        <v>Weekday</v>
      </c>
      <c r="T895" s="1" t="str">
        <f>VLOOKUP(I895,[1]Lookup!$D$2:$E$5,2,FALSE)</f>
        <v>Light Rain / Snow</v>
      </c>
      <c r="U895" s="1" t="str">
        <f>IF(F895&lt;6,"Night",
IF(F895&lt;12,"Morning",
IF(F895&lt;17,"Afternoon",
IF(F895&lt;21,"Evening","Night"))))</f>
        <v>Night</v>
      </c>
      <c r="V895" s="1" t="str">
        <f>IF(J895&lt;0.3,"Cold",
IF(J895&lt;0.6,"Pleasant","Hot"))</f>
        <v>Cold</v>
      </c>
      <c r="W895" s="1" t="str">
        <f>IF(L895&lt;0.4,"Low",
IF(L895&lt;0.7,"Medium","High"))</f>
        <v>High</v>
      </c>
      <c r="X895" s="1" t="str">
        <f>IF(M895&lt;0.2,"Low",
IF(M895&lt;0.4,"Medium","High"))</f>
        <v>Low</v>
      </c>
      <c r="Y895" s="1" t="str">
        <f>IF(P895&lt;100,"Low",
IF(P895&lt;300,"Medium","High"))</f>
        <v>Low</v>
      </c>
    </row>
    <row r="896" spans="1:25" x14ac:dyDescent="0.3">
      <c r="A896">
        <v>904</v>
      </c>
      <c r="B896" s="2">
        <v>40584</v>
      </c>
      <c r="C896">
        <v>1</v>
      </c>
      <c r="D896">
        <v>0</v>
      </c>
      <c r="E896">
        <v>2</v>
      </c>
      <c r="F896">
        <v>4</v>
      </c>
      <c r="G896" t="b">
        <v>0</v>
      </c>
      <c r="H896">
        <v>4</v>
      </c>
      <c r="I896">
        <v>2</v>
      </c>
      <c r="J896">
        <v>0.14000000000000001</v>
      </c>
      <c r="K896">
        <v>0.13639999999999999</v>
      </c>
      <c r="L896">
        <v>0.59</v>
      </c>
      <c r="M896">
        <v>0.22389999999999999</v>
      </c>
      <c r="N896">
        <v>0</v>
      </c>
      <c r="O896">
        <v>1</v>
      </c>
      <c r="P896">
        <v>1</v>
      </c>
      <c r="Q896" t="str">
        <f>VLOOKUP(MasterData[[#This Row],[season]],[1]Lookup!$A$2:$B$5,2,FALSE)</f>
        <v>Spring</v>
      </c>
      <c r="R896" t="str">
        <f>TEXT(DATE(2026,E896,1),"mmmm")</f>
        <v>February</v>
      </c>
      <c r="S896" t="str">
        <f>IF(OR(H896=0,H896=6),"Weekend","Weekday")</f>
        <v>Weekday</v>
      </c>
      <c r="T896" s="1" t="str">
        <f>VLOOKUP(I896,[1]Lookup!$D$2:$E$5,2,FALSE)</f>
        <v>Mist / Cloudy</v>
      </c>
      <c r="U896" s="1" t="str">
        <f>IF(F896&lt;6,"Night",
IF(F896&lt;12,"Morning",
IF(F896&lt;17,"Afternoon",
IF(F896&lt;21,"Evening","Night"))))</f>
        <v>Night</v>
      </c>
      <c r="V896" s="1" t="str">
        <f>IF(J896&lt;0.3,"Cold",
IF(J896&lt;0.6,"Pleasant","Hot"))</f>
        <v>Cold</v>
      </c>
      <c r="W896" s="1" t="str">
        <f>IF(L896&lt;0.4,"Low",
IF(L896&lt;0.7,"Medium","High"))</f>
        <v>Medium</v>
      </c>
      <c r="X896" s="1" t="str">
        <f>IF(M896&lt;0.2,"Low",
IF(M896&lt;0.4,"Medium","High"))</f>
        <v>Medium</v>
      </c>
      <c r="Y896" s="1" t="str">
        <f>IF(P896&lt;100,"Low",
IF(P896&lt;300,"Medium","High"))</f>
        <v>Low</v>
      </c>
    </row>
    <row r="897" spans="1:25" x14ac:dyDescent="0.3">
      <c r="A897">
        <v>905</v>
      </c>
      <c r="B897" s="2">
        <v>40584</v>
      </c>
      <c r="C897">
        <v>1</v>
      </c>
      <c r="D897">
        <v>0</v>
      </c>
      <c r="E897">
        <v>2</v>
      </c>
      <c r="F897">
        <v>5</v>
      </c>
      <c r="G897" t="b">
        <v>0</v>
      </c>
      <c r="H897">
        <v>4</v>
      </c>
      <c r="I897">
        <v>2</v>
      </c>
      <c r="J897">
        <v>0.12</v>
      </c>
      <c r="K897">
        <v>0.1212</v>
      </c>
      <c r="L897">
        <v>0.5</v>
      </c>
      <c r="M897">
        <v>0.22389999999999999</v>
      </c>
      <c r="N897">
        <v>0</v>
      </c>
      <c r="O897">
        <v>6</v>
      </c>
      <c r="P897">
        <v>6</v>
      </c>
      <c r="Q897" t="str">
        <f>VLOOKUP(MasterData[[#This Row],[season]],[1]Lookup!$A$2:$B$5,2,FALSE)</f>
        <v>Spring</v>
      </c>
      <c r="R897" t="str">
        <f>TEXT(DATE(2026,E897,1),"mmmm")</f>
        <v>February</v>
      </c>
      <c r="S897" t="str">
        <f>IF(OR(H897=0,H897=6),"Weekend","Weekday")</f>
        <v>Weekday</v>
      </c>
      <c r="T897" s="1" t="str">
        <f>VLOOKUP(I897,[1]Lookup!$D$2:$E$5,2,FALSE)</f>
        <v>Mist / Cloudy</v>
      </c>
      <c r="U897" s="1" t="str">
        <f>IF(F897&lt;6,"Night",
IF(F897&lt;12,"Morning",
IF(F897&lt;17,"Afternoon",
IF(F897&lt;21,"Evening","Night"))))</f>
        <v>Night</v>
      </c>
      <c r="V897" s="1" t="str">
        <f>IF(J897&lt;0.3,"Cold",
IF(J897&lt;0.6,"Pleasant","Hot"))</f>
        <v>Cold</v>
      </c>
      <c r="W897" s="1" t="str">
        <f>IF(L897&lt;0.4,"Low",
IF(L897&lt;0.7,"Medium","High"))</f>
        <v>Medium</v>
      </c>
      <c r="X897" s="1" t="str">
        <f>IF(M897&lt;0.2,"Low",
IF(M897&lt;0.4,"Medium","High"))</f>
        <v>Medium</v>
      </c>
      <c r="Y897" s="1" t="str">
        <f>IF(P897&lt;100,"Low",
IF(P897&lt;300,"Medium","High"))</f>
        <v>Low</v>
      </c>
    </row>
    <row r="898" spans="1:25" x14ac:dyDescent="0.3">
      <c r="A898">
        <v>906</v>
      </c>
      <c r="B898" s="2">
        <v>40584</v>
      </c>
      <c r="C898">
        <v>1</v>
      </c>
      <c r="D898">
        <v>0</v>
      </c>
      <c r="E898">
        <v>2</v>
      </c>
      <c r="F898">
        <v>6</v>
      </c>
      <c r="G898" t="b">
        <v>0</v>
      </c>
      <c r="H898">
        <v>4</v>
      </c>
      <c r="I898">
        <v>2</v>
      </c>
      <c r="J898">
        <v>0.12</v>
      </c>
      <c r="K898">
        <v>0.1212</v>
      </c>
      <c r="L898">
        <v>0.54</v>
      </c>
      <c r="M898">
        <v>0.28360000000000002</v>
      </c>
      <c r="N898">
        <v>0</v>
      </c>
      <c r="O898">
        <v>26</v>
      </c>
      <c r="P898">
        <v>26</v>
      </c>
      <c r="Q898" t="str">
        <f>VLOOKUP(MasterData[[#This Row],[season]],[1]Lookup!$A$2:$B$5,2,FALSE)</f>
        <v>Spring</v>
      </c>
      <c r="R898" t="str">
        <f>TEXT(DATE(2026,E898,1),"mmmm")</f>
        <v>February</v>
      </c>
      <c r="S898" t="str">
        <f>IF(OR(H898=0,H898=6),"Weekend","Weekday")</f>
        <v>Weekday</v>
      </c>
      <c r="T898" s="1" t="str">
        <f>VLOOKUP(I898,[1]Lookup!$D$2:$E$5,2,FALSE)</f>
        <v>Mist / Cloudy</v>
      </c>
      <c r="U898" s="1" t="str">
        <f>IF(F898&lt;6,"Night",
IF(F898&lt;12,"Morning",
IF(F898&lt;17,"Afternoon",
IF(F898&lt;21,"Evening","Night"))))</f>
        <v>Morning</v>
      </c>
      <c r="V898" s="1" t="str">
        <f>IF(J898&lt;0.3,"Cold",
IF(J898&lt;0.6,"Pleasant","Hot"))</f>
        <v>Cold</v>
      </c>
      <c r="W898" s="1" t="str">
        <f>IF(L898&lt;0.4,"Low",
IF(L898&lt;0.7,"Medium","High"))</f>
        <v>Medium</v>
      </c>
      <c r="X898" s="1" t="str">
        <f>IF(M898&lt;0.2,"Low",
IF(M898&lt;0.4,"Medium","High"))</f>
        <v>Medium</v>
      </c>
      <c r="Y898" s="1" t="str">
        <f>IF(P898&lt;100,"Low",
IF(P898&lt;300,"Medium","High"))</f>
        <v>Low</v>
      </c>
    </row>
    <row r="899" spans="1:25" x14ac:dyDescent="0.3">
      <c r="A899">
        <v>907</v>
      </c>
      <c r="B899" s="2">
        <v>40584</v>
      </c>
      <c r="C899">
        <v>1</v>
      </c>
      <c r="D899">
        <v>0</v>
      </c>
      <c r="E899">
        <v>2</v>
      </c>
      <c r="F899">
        <v>7</v>
      </c>
      <c r="G899" t="b">
        <v>0</v>
      </c>
      <c r="H899">
        <v>4</v>
      </c>
      <c r="I899">
        <v>1</v>
      </c>
      <c r="J899">
        <v>0.1</v>
      </c>
      <c r="K899">
        <v>7.5800000000000006E-2</v>
      </c>
      <c r="L899">
        <v>0.5</v>
      </c>
      <c r="M899">
        <v>0.41789999999999999</v>
      </c>
      <c r="N899">
        <v>0</v>
      </c>
      <c r="O899">
        <v>99</v>
      </c>
      <c r="P899">
        <v>99</v>
      </c>
      <c r="Q899" t="str">
        <f>VLOOKUP(MasterData[[#This Row],[season]],[1]Lookup!$A$2:$B$5,2,FALSE)</f>
        <v>Spring</v>
      </c>
      <c r="R899" t="str">
        <f>TEXT(DATE(2026,E899,1),"mmmm")</f>
        <v>February</v>
      </c>
      <c r="S899" t="str">
        <f>IF(OR(H899=0,H899=6),"Weekend","Weekday")</f>
        <v>Weekday</v>
      </c>
      <c r="T899" s="1" t="str">
        <f>VLOOKUP(I899,[1]Lookup!$D$2:$E$5,2,FALSE)</f>
        <v>Clear</v>
      </c>
      <c r="U899" s="1" t="str">
        <f>IF(F899&lt;6,"Night",
IF(F899&lt;12,"Morning",
IF(F899&lt;17,"Afternoon",
IF(F899&lt;21,"Evening","Night"))))</f>
        <v>Morning</v>
      </c>
      <c r="V899" s="1" t="str">
        <f>IF(J899&lt;0.3,"Cold",
IF(J899&lt;0.6,"Pleasant","Hot"))</f>
        <v>Cold</v>
      </c>
      <c r="W899" s="1" t="str">
        <f>IF(L899&lt;0.4,"Low",
IF(L899&lt;0.7,"Medium","High"))</f>
        <v>Medium</v>
      </c>
      <c r="X899" s="1" t="str">
        <f>IF(M899&lt;0.2,"Low",
IF(M899&lt;0.4,"Medium","High"))</f>
        <v>High</v>
      </c>
      <c r="Y899" s="1" t="str">
        <f>IF(P899&lt;100,"Low",
IF(P899&lt;300,"Medium","High"))</f>
        <v>Low</v>
      </c>
    </row>
    <row r="900" spans="1:25" x14ac:dyDescent="0.3">
      <c r="A900">
        <v>908</v>
      </c>
      <c r="B900" s="2">
        <v>40584</v>
      </c>
      <c r="C900">
        <v>1</v>
      </c>
      <c r="D900">
        <v>0</v>
      </c>
      <c r="E900">
        <v>2</v>
      </c>
      <c r="F900">
        <v>8</v>
      </c>
      <c r="G900" t="b">
        <v>0</v>
      </c>
      <c r="H900">
        <v>4</v>
      </c>
      <c r="I900">
        <v>1</v>
      </c>
      <c r="J900">
        <v>0.1</v>
      </c>
      <c r="K900">
        <v>7.5800000000000006E-2</v>
      </c>
      <c r="L900">
        <v>0.49</v>
      </c>
      <c r="M900">
        <v>0.32840000000000003</v>
      </c>
      <c r="N900">
        <v>5</v>
      </c>
      <c r="O900">
        <v>173</v>
      </c>
      <c r="P900">
        <v>178</v>
      </c>
      <c r="Q900" t="str">
        <f>VLOOKUP(MasterData[[#This Row],[season]],[1]Lookup!$A$2:$B$5,2,FALSE)</f>
        <v>Spring</v>
      </c>
      <c r="R900" t="str">
        <f>TEXT(DATE(2026,E900,1),"mmmm")</f>
        <v>February</v>
      </c>
      <c r="S900" t="str">
        <f>IF(OR(H900=0,H900=6),"Weekend","Weekday")</f>
        <v>Weekday</v>
      </c>
      <c r="T900" s="1" t="str">
        <f>VLOOKUP(I900,[1]Lookup!$D$2:$E$5,2,FALSE)</f>
        <v>Clear</v>
      </c>
      <c r="U900" s="1" t="str">
        <f>IF(F900&lt;6,"Night",
IF(F900&lt;12,"Morning",
IF(F900&lt;17,"Afternoon",
IF(F900&lt;21,"Evening","Night"))))</f>
        <v>Morning</v>
      </c>
      <c r="V900" s="1" t="str">
        <f>IF(J900&lt;0.3,"Cold",
IF(J900&lt;0.6,"Pleasant","Hot"))</f>
        <v>Cold</v>
      </c>
      <c r="W900" s="1" t="str">
        <f>IF(L900&lt;0.4,"Low",
IF(L900&lt;0.7,"Medium","High"))</f>
        <v>Medium</v>
      </c>
      <c r="X900" s="1" t="str">
        <f>IF(M900&lt;0.2,"Low",
IF(M900&lt;0.4,"Medium","High"))</f>
        <v>Medium</v>
      </c>
      <c r="Y900" s="1" t="str">
        <f>IF(P900&lt;100,"Low",
IF(P900&lt;300,"Medium","High"))</f>
        <v>Medium</v>
      </c>
    </row>
    <row r="901" spans="1:25" x14ac:dyDescent="0.3">
      <c r="A901">
        <v>909</v>
      </c>
      <c r="B901" s="2">
        <v>40584</v>
      </c>
      <c r="C901">
        <v>1</v>
      </c>
      <c r="D901">
        <v>0</v>
      </c>
      <c r="E901">
        <v>2</v>
      </c>
      <c r="F901">
        <v>9</v>
      </c>
      <c r="G901" t="b">
        <v>0</v>
      </c>
      <c r="H901">
        <v>4</v>
      </c>
      <c r="I901">
        <v>1</v>
      </c>
      <c r="J901">
        <v>0.12</v>
      </c>
      <c r="K901">
        <v>0.1061</v>
      </c>
      <c r="L901">
        <v>0.42</v>
      </c>
      <c r="M901">
        <v>0.35820000000000002</v>
      </c>
      <c r="N901">
        <v>1</v>
      </c>
      <c r="O901">
        <v>121</v>
      </c>
      <c r="P901">
        <v>122</v>
      </c>
      <c r="Q901" t="str">
        <f>VLOOKUP(MasterData[[#This Row],[season]],[1]Lookup!$A$2:$B$5,2,FALSE)</f>
        <v>Spring</v>
      </c>
      <c r="R901" t="str">
        <f>TEXT(DATE(2026,E901,1),"mmmm")</f>
        <v>February</v>
      </c>
      <c r="S901" t="str">
        <f>IF(OR(H901=0,H901=6),"Weekend","Weekday")</f>
        <v>Weekday</v>
      </c>
      <c r="T901" s="1" t="str">
        <f>VLOOKUP(I901,[1]Lookup!$D$2:$E$5,2,FALSE)</f>
        <v>Clear</v>
      </c>
      <c r="U901" s="1" t="str">
        <f>IF(F901&lt;6,"Night",
IF(F901&lt;12,"Morning",
IF(F901&lt;17,"Afternoon",
IF(F901&lt;21,"Evening","Night"))))</f>
        <v>Morning</v>
      </c>
      <c r="V901" s="1" t="str">
        <f>IF(J901&lt;0.3,"Cold",
IF(J901&lt;0.6,"Pleasant","Hot"))</f>
        <v>Cold</v>
      </c>
      <c r="W901" s="1" t="str">
        <f>IF(L901&lt;0.4,"Low",
IF(L901&lt;0.7,"Medium","High"))</f>
        <v>Medium</v>
      </c>
      <c r="X901" s="1" t="str">
        <f>IF(M901&lt;0.2,"Low",
IF(M901&lt;0.4,"Medium","High"))</f>
        <v>Medium</v>
      </c>
      <c r="Y901" s="1" t="str">
        <f>IF(P901&lt;100,"Low",
IF(P901&lt;300,"Medium","High"))</f>
        <v>Medium</v>
      </c>
    </row>
    <row r="902" spans="1:25" x14ac:dyDescent="0.3">
      <c r="A902">
        <v>910</v>
      </c>
      <c r="B902" s="2">
        <v>40584</v>
      </c>
      <c r="C902">
        <v>1</v>
      </c>
      <c r="D902">
        <v>0</v>
      </c>
      <c r="E902">
        <v>2</v>
      </c>
      <c r="F902">
        <v>10</v>
      </c>
      <c r="G902" t="b">
        <v>0</v>
      </c>
      <c r="H902">
        <v>4</v>
      </c>
      <c r="I902">
        <v>1</v>
      </c>
      <c r="J902">
        <v>0.12</v>
      </c>
      <c r="K902">
        <v>0.1061</v>
      </c>
      <c r="L902">
        <v>0.42</v>
      </c>
      <c r="M902">
        <v>0.29849999999999999</v>
      </c>
      <c r="N902">
        <v>1</v>
      </c>
      <c r="O902">
        <v>34</v>
      </c>
      <c r="P902">
        <v>35</v>
      </c>
      <c r="Q902" t="str">
        <f>VLOOKUP(MasterData[[#This Row],[season]],[1]Lookup!$A$2:$B$5,2,FALSE)</f>
        <v>Spring</v>
      </c>
      <c r="R902" t="str">
        <f>TEXT(DATE(2026,E902,1),"mmmm")</f>
        <v>February</v>
      </c>
      <c r="S902" t="str">
        <f>IF(OR(H902=0,H902=6),"Weekend","Weekday")</f>
        <v>Weekday</v>
      </c>
      <c r="T902" s="1" t="str">
        <f>VLOOKUP(I902,[1]Lookup!$D$2:$E$5,2,FALSE)</f>
        <v>Clear</v>
      </c>
      <c r="U902" s="1" t="str">
        <f>IF(F902&lt;6,"Night",
IF(F902&lt;12,"Morning",
IF(F902&lt;17,"Afternoon",
IF(F902&lt;21,"Evening","Night"))))</f>
        <v>Morning</v>
      </c>
      <c r="V902" s="1" t="str">
        <f>IF(J902&lt;0.3,"Cold",
IF(J902&lt;0.6,"Pleasant","Hot"))</f>
        <v>Cold</v>
      </c>
      <c r="W902" s="1" t="str">
        <f>IF(L902&lt;0.4,"Low",
IF(L902&lt;0.7,"Medium","High"))</f>
        <v>Medium</v>
      </c>
      <c r="X902" s="1" t="str">
        <f>IF(M902&lt;0.2,"Low",
IF(M902&lt;0.4,"Medium","High"))</f>
        <v>Medium</v>
      </c>
      <c r="Y902" s="1" t="str">
        <f>IF(P902&lt;100,"Low",
IF(P902&lt;300,"Medium","High"))</f>
        <v>Low</v>
      </c>
    </row>
    <row r="903" spans="1:25" x14ac:dyDescent="0.3">
      <c r="A903">
        <v>911</v>
      </c>
      <c r="B903" s="2">
        <v>40584</v>
      </c>
      <c r="C903">
        <v>1</v>
      </c>
      <c r="D903">
        <v>0</v>
      </c>
      <c r="E903">
        <v>2</v>
      </c>
      <c r="F903">
        <v>11</v>
      </c>
      <c r="G903" t="b">
        <v>0</v>
      </c>
      <c r="H903">
        <v>4</v>
      </c>
      <c r="I903">
        <v>1</v>
      </c>
      <c r="J903">
        <v>0.14000000000000001</v>
      </c>
      <c r="K903">
        <v>0.1212</v>
      </c>
      <c r="L903">
        <v>0.39</v>
      </c>
      <c r="M903">
        <v>0.35820000000000002</v>
      </c>
      <c r="N903">
        <v>1</v>
      </c>
      <c r="O903">
        <v>44</v>
      </c>
      <c r="P903">
        <v>45</v>
      </c>
      <c r="Q903" t="str">
        <f>VLOOKUP(MasterData[[#This Row],[season]],[1]Lookup!$A$2:$B$5,2,FALSE)</f>
        <v>Spring</v>
      </c>
      <c r="R903" t="str">
        <f>TEXT(DATE(2026,E903,1),"mmmm")</f>
        <v>February</v>
      </c>
      <c r="S903" t="str">
        <f>IF(OR(H903=0,H903=6),"Weekend","Weekday")</f>
        <v>Weekday</v>
      </c>
      <c r="T903" s="1" t="str">
        <f>VLOOKUP(I903,[1]Lookup!$D$2:$E$5,2,FALSE)</f>
        <v>Clear</v>
      </c>
      <c r="U903" s="1" t="str">
        <f>IF(F903&lt;6,"Night",
IF(F903&lt;12,"Morning",
IF(F903&lt;17,"Afternoon",
IF(F903&lt;21,"Evening","Night"))))</f>
        <v>Morning</v>
      </c>
      <c r="V903" s="1" t="str">
        <f>IF(J903&lt;0.3,"Cold",
IF(J903&lt;0.6,"Pleasant","Hot"))</f>
        <v>Cold</v>
      </c>
      <c r="W903" s="1" t="str">
        <f>IF(L903&lt;0.4,"Low",
IF(L903&lt;0.7,"Medium","High"))</f>
        <v>Low</v>
      </c>
      <c r="X903" s="1" t="str">
        <f>IF(M903&lt;0.2,"Low",
IF(M903&lt;0.4,"Medium","High"))</f>
        <v>Medium</v>
      </c>
      <c r="Y903" s="1" t="str">
        <f>IF(P903&lt;100,"Low",
IF(P903&lt;300,"Medium","High"))</f>
        <v>Low</v>
      </c>
    </row>
    <row r="904" spans="1:25" x14ac:dyDescent="0.3">
      <c r="A904">
        <v>912</v>
      </c>
      <c r="B904" s="2">
        <v>40584</v>
      </c>
      <c r="C904">
        <v>1</v>
      </c>
      <c r="D904">
        <v>0</v>
      </c>
      <c r="E904">
        <v>2</v>
      </c>
      <c r="F904">
        <v>12</v>
      </c>
      <c r="G904" t="b">
        <v>0</v>
      </c>
      <c r="H904">
        <v>4</v>
      </c>
      <c r="I904">
        <v>1</v>
      </c>
      <c r="J904">
        <v>0.16</v>
      </c>
      <c r="K904">
        <v>0.13639999999999999</v>
      </c>
      <c r="L904">
        <v>0.34</v>
      </c>
      <c r="M904">
        <v>0.3881</v>
      </c>
      <c r="N904">
        <v>4</v>
      </c>
      <c r="O904">
        <v>65</v>
      </c>
      <c r="P904">
        <v>69</v>
      </c>
      <c r="Q904" t="str">
        <f>VLOOKUP(MasterData[[#This Row],[season]],[1]Lookup!$A$2:$B$5,2,FALSE)</f>
        <v>Spring</v>
      </c>
      <c r="R904" t="str">
        <f>TEXT(DATE(2026,E904,1),"mmmm")</f>
        <v>February</v>
      </c>
      <c r="S904" t="str">
        <f>IF(OR(H904=0,H904=6),"Weekend","Weekday")</f>
        <v>Weekday</v>
      </c>
      <c r="T904" s="1" t="str">
        <f>VLOOKUP(I904,[1]Lookup!$D$2:$E$5,2,FALSE)</f>
        <v>Clear</v>
      </c>
      <c r="U904" s="1" t="str">
        <f>IF(F904&lt;6,"Night",
IF(F904&lt;12,"Morning",
IF(F904&lt;17,"Afternoon",
IF(F904&lt;21,"Evening","Night"))))</f>
        <v>Afternoon</v>
      </c>
      <c r="V904" s="1" t="str">
        <f>IF(J904&lt;0.3,"Cold",
IF(J904&lt;0.6,"Pleasant","Hot"))</f>
        <v>Cold</v>
      </c>
      <c r="W904" s="1" t="str">
        <f>IF(L904&lt;0.4,"Low",
IF(L904&lt;0.7,"Medium","High"))</f>
        <v>Low</v>
      </c>
      <c r="X904" s="1" t="str">
        <f>IF(M904&lt;0.2,"Low",
IF(M904&lt;0.4,"Medium","High"))</f>
        <v>Medium</v>
      </c>
      <c r="Y904" s="1" t="str">
        <f>IF(P904&lt;100,"Low",
IF(P904&lt;300,"Medium","High"))</f>
        <v>Low</v>
      </c>
    </row>
    <row r="905" spans="1:25" x14ac:dyDescent="0.3">
      <c r="A905">
        <v>913</v>
      </c>
      <c r="B905" s="2">
        <v>40584</v>
      </c>
      <c r="C905">
        <v>1</v>
      </c>
      <c r="D905">
        <v>0</v>
      </c>
      <c r="E905">
        <v>2</v>
      </c>
      <c r="F905">
        <v>13</v>
      </c>
      <c r="G905" t="b">
        <v>0</v>
      </c>
      <c r="H905">
        <v>4</v>
      </c>
      <c r="I905">
        <v>1</v>
      </c>
      <c r="J905">
        <v>0.18</v>
      </c>
      <c r="K905">
        <v>0.16669999999999999</v>
      </c>
      <c r="L905">
        <v>0.28999999999999998</v>
      </c>
      <c r="M905">
        <v>0.29849999999999999</v>
      </c>
      <c r="N905">
        <v>3</v>
      </c>
      <c r="O905">
        <v>59</v>
      </c>
      <c r="P905">
        <v>62</v>
      </c>
      <c r="Q905" t="str">
        <f>VLOOKUP(MasterData[[#This Row],[season]],[1]Lookup!$A$2:$B$5,2,FALSE)</f>
        <v>Spring</v>
      </c>
      <c r="R905" t="str">
        <f>TEXT(DATE(2026,E905,1),"mmmm")</f>
        <v>February</v>
      </c>
      <c r="S905" t="str">
        <f>IF(OR(H905=0,H905=6),"Weekend","Weekday")</f>
        <v>Weekday</v>
      </c>
      <c r="T905" s="1" t="str">
        <f>VLOOKUP(I905,[1]Lookup!$D$2:$E$5,2,FALSE)</f>
        <v>Clear</v>
      </c>
      <c r="U905" s="1" t="str">
        <f>IF(F905&lt;6,"Night",
IF(F905&lt;12,"Morning",
IF(F905&lt;17,"Afternoon",
IF(F905&lt;21,"Evening","Night"))))</f>
        <v>Afternoon</v>
      </c>
      <c r="V905" s="1" t="str">
        <f>IF(J905&lt;0.3,"Cold",
IF(J905&lt;0.6,"Pleasant","Hot"))</f>
        <v>Cold</v>
      </c>
      <c r="W905" s="1" t="str">
        <f>IF(L905&lt;0.4,"Low",
IF(L905&lt;0.7,"Medium","High"))</f>
        <v>Low</v>
      </c>
      <c r="X905" s="1" t="str">
        <f>IF(M905&lt;0.2,"Low",
IF(M905&lt;0.4,"Medium","High"))</f>
        <v>Medium</v>
      </c>
      <c r="Y905" s="1" t="str">
        <f>IF(P905&lt;100,"Low",
IF(P905&lt;300,"Medium","High"))</f>
        <v>Low</v>
      </c>
    </row>
    <row r="906" spans="1:25" x14ac:dyDescent="0.3">
      <c r="A906">
        <v>914</v>
      </c>
      <c r="B906" s="2">
        <v>40584</v>
      </c>
      <c r="C906">
        <v>1</v>
      </c>
      <c r="D906">
        <v>0</v>
      </c>
      <c r="E906">
        <v>2</v>
      </c>
      <c r="F906">
        <v>14</v>
      </c>
      <c r="G906" t="b">
        <v>0</v>
      </c>
      <c r="H906">
        <v>4</v>
      </c>
      <c r="I906">
        <v>1</v>
      </c>
      <c r="J906">
        <v>0.2</v>
      </c>
      <c r="K906">
        <v>0.18179999999999999</v>
      </c>
      <c r="L906">
        <v>0.27</v>
      </c>
      <c r="M906">
        <v>0.28360000000000002</v>
      </c>
      <c r="N906">
        <v>6</v>
      </c>
      <c r="O906">
        <v>42</v>
      </c>
      <c r="P906">
        <v>48</v>
      </c>
      <c r="Q906" t="str">
        <f>VLOOKUP(MasterData[[#This Row],[season]],[1]Lookup!$A$2:$B$5,2,FALSE)</f>
        <v>Spring</v>
      </c>
      <c r="R906" t="str">
        <f>TEXT(DATE(2026,E906,1),"mmmm")</f>
        <v>February</v>
      </c>
      <c r="S906" t="str">
        <f>IF(OR(H906=0,H906=6),"Weekend","Weekday")</f>
        <v>Weekday</v>
      </c>
      <c r="T906" s="1" t="str">
        <f>VLOOKUP(I906,[1]Lookup!$D$2:$E$5,2,FALSE)</f>
        <v>Clear</v>
      </c>
      <c r="U906" s="1" t="str">
        <f>IF(F906&lt;6,"Night",
IF(F906&lt;12,"Morning",
IF(F906&lt;17,"Afternoon",
IF(F906&lt;21,"Evening","Night"))))</f>
        <v>Afternoon</v>
      </c>
      <c r="V906" s="1" t="str">
        <f>IF(J906&lt;0.3,"Cold",
IF(J906&lt;0.6,"Pleasant","Hot"))</f>
        <v>Cold</v>
      </c>
      <c r="W906" s="1" t="str">
        <f>IF(L906&lt;0.4,"Low",
IF(L906&lt;0.7,"Medium","High"))</f>
        <v>Low</v>
      </c>
      <c r="X906" s="1" t="str">
        <f>IF(M906&lt;0.2,"Low",
IF(M906&lt;0.4,"Medium","High"))</f>
        <v>Medium</v>
      </c>
      <c r="Y906" s="1" t="str">
        <f>IF(P906&lt;100,"Low",
IF(P906&lt;300,"Medium","High"))</f>
        <v>Low</v>
      </c>
    </row>
    <row r="907" spans="1:25" x14ac:dyDescent="0.3">
      <c r="A907">
        <v>915</v>
      </c>
      <c r="B907" s="2">
        <v>40584</v>
      </c>
      <c r="C907">
        <v>1</v>
      </c>
      <c r="D907">
        <v>0</v>
      </c>
      <c r="E907">
        <v>2</v>
      </c>
      <c r="F907">
        <v>15</v>
      </c>
      <c r="G907" t="b">
        <v>0</v>
      </c>
      <c r="H907">
        <v>4</v>
      </c>
      <c r="I907">
        <v>1</v>
      </c>
      <c r="J907">
        <v>0.2</v>
      </c>
      <c r="K907">
        <v>0.19700000000000001</v>
      </c>
      <c r="L907">
        <v>0.25</v>
      </c>
      <c r="M907">
        <v>0.25369999999999998</v>
      </c>
      <c r="N907">
        <v>0</v>
      </c>
      <c r="O907">
        <v>50</v>
      </c>
      <c r="P907">
        <v>50</v>
      </c>
      <c r="Q907" t="str">
        <f>VLOOKUP(MasterData[[#This Row],[season]],[1]Lookup!$A$2:$B$5,2,FALSE)</f>
        <v>Spring</v>
      </c>
      <c r="R907" t="str">
        <f>TEXT(DATE(2026,E907,1),"mmmm")</f>
        <v>February</v>
      </c>
      <c r="S907" t="str">
        <f>IF(OR(H907=0,H907=6),"Weekend","Weekday")</f>
        <v>Weekday</v>
      </c>
      <c r="T907" s="1" t="str">
        <f>VLOOKUP(I907,[1]Lookup!$D$2:$E$5,2,FALSE)</f>
        <v>Clear</v>
      </c>
      <c r="U907" s="1" t="str">
        <f>IF(F907&lt;6,"Night",
IF(F907&lt;12,"Morning",
IF(F907&lt;17,"Afternoon",
IF(F907&lt;21,"Evening","Night"))))</f>
        <v>Afternoon</v>
      </c>
      <c r="V907" s="1" t="str">
        <f>IF(J907&lt;0.3,"Cold",
IF(J907&lt;0.6,"Pleasant","Hot"))</f>
        <v>Cold</v>
      </c>
      <c r="W907" s="1" t="str">
        <f>IF(L907&lt;0.4,"Low",
IF(L907&lt;0.7,"Medium","High"))</f>
        <v>Low</v>
      </c>
      <c r="X907" s="1" t="str">
        <f>IF(M907&lt;0.2,"Low",
IF(M907&lt;0.4,"Medium","High"))</f>
        <v>Medium</v>
      </c>
      <c r="Y907" s="1" t="str">
        <f>IF(P907&lt;100,"Low",
IF(P907&lt;300,"Medium","High"))</f>
        <v>Low</v>
      </c>
    </row>
    <row r="908" spans="1:25" x14ac:dyDescent="0.3">
      <c r="A908">
        <v>916</v>
      </c>
      <c r="B908" s="2">
        <v>40584</v>
      </c>
      <c r="C908">
        <v>1</v>
      </c>
      <c r="D908">
        <v>0</v>
      </c>
      <c r="E908">
        <v>2</v>
      </c>
      <c r="F908">
        <v>16</v>
      </c>
      <c r="G908" t="b">
        <v>0</v>
      </c>
      <c r="H908">
        <v>4</v>
      </c>
      <c r="I908">
        <v>1</v>
      </c>
      <c r="J908">
        <v>0.2</v>
      </c>
      <c r="K908">
        <v>0.18179999999999999</v>
      </c>
      <c r="L908">
        <v>0.27</v>
      </c>
      <c r="M908">
        <v>0.29849999999999999</v>
      </c>
      <c r="N908">
        <v>4</v>
      </c>
      <c r="O908">
        <v>76</v>
      </c>
      <c r="P908">
        <v>80</v>
      </c>
      <c r="Q908" t="str">
        <f>VLOOKUP(MasterData[[#This Row],[season]],[1]Lookup!$A$2:$B$5,2,FALSE)</f>
        <v>Spring</v>
      </c>
      <c r="R908" t="str">
        <f>TEXT(DATE(2026,E908,1),"mmmm")</f>
        <v>February</v>
      </c>
      <c r="S908" t="str">
        <f>IF(OR(H908=0,H908=6),"Weekend","Weekday")</f>
        <v>Weekday</v>
      </c>
      <c r="T908" s="1" t="str">
        <f>VLOOKUP(I908,[1]Lookup!$D$2:$E$5,2,FALSE)</f>
        <v>Clear</v>
      </c>
      <c r="U908" s="1" t="str">
        <f>IF(F908&lt;6,"Night",
IF(F908&lt;12,"Morning",
IF(F908&lt;17,"Afternoon",
IF(F908&lt;21,"Evening","Night"))))</f>
        <v>Afternoon</v>
      </c>
      <c r="V908" s="1" t="str">
        <f>IF(J908&lt;0.3,"Cold",
IF(J908&lt;0.6,"Pleasant","Hot"))</f>
        <v>Cold</v>
      </c>
      <c r="W908" s="1" t="str">
        <f>IF(L908&lt;0.4,"Low",
IF(L908&lt;0.7,"Medium","High"))</f>
        <v>Low</v>
      </c>
      <c r="X908" s="1" t="str">
        <f>IF(M908&lt;0.2,"Low",
IF(M908&lt;0.4,"Medium","High"))</f>
        <v>Medium</v>
      </c>
      <c r="Y908" s="1" t="str">
        <f>IF(P908&lt;100,"Low",
IF(P908&lt;300,"Medium","High"))</f>
        <v>Low</v>
      </c>
    </row>
    <row r="909" spans="1:25" x14ac:dyDescent="0.3">
      <c r="A909">
        <v>917</v>
      </c>
      <c r="B909" s="2">
        <v>40584</v>
      </c>
      <c r="C909">
        <v>1</v>
      </c>
      <c r="D909">
        <v>0</v>
      </c>
      <c r="E909">
        <v>2</v>
      </c>
      <c r="F909">
        <v>17</v>
      </c>
      <c r="G909" t="b">
        <v>0</v>
      </c>
      <c r="H909">
        <v>4</v>
      </c>
      <c r="I909">
        <v>1</v>
      </c>
      <c r="J909">
        <v>0.18</v>
      </c>
      <c r="K909">
        <v>0.18179999999999999</v>
      </c>
      <c r="L909">
        <v>0.26</v>
      </c>
      <c r="M909">
        <v>0.19400000000000001</v>
      </c>
      <c r="N909">
        <v>6</v>
      </c>
      <c r="O909">
        <v>159</v>
      </c>
      <c r="P909">
        <v>165</v>
      </c>
      <c r="Q909" t="str">
        <f>VLOOKUP(MasterData[[#This Row],[season]],[1]Lookup!$A$2:$B$5,2,FALSE)</f>
        <v>Spring</v>
      </c>
      <c r="R909" t="str">
        <f>TEXT(DATE(2026,E909,1),"mmmm")</f>
        <v>February</v>
      </c>
      <c r="S909" t="str">
        <f>IF(OR(H909=0,H909=6),"Weekend","Weekday")</f>
        <v>Weekday</v>
      </c>
      <c r="T909" s="1" t="str">
        <f>VLOOKUP(I909,[1]Lookup!$D$2:$E$5,2,FALSE)</f>
        <v>Clear</v>
      </c>
      <c r="U909" s="1" t="str">
        <f>IF(F909&lt;6,"Night",
IF(F909&lt;12,"Morning",
IF(F909&lt;17,"Afternoon",
IF(F909&lt;21,"Evening","Night"))))</f>
        <v>Evening</v>
      </c>
      <c r="V909" s="1" t="str">
        <f>IF(J909&lt;0.3,"Cold",
IF(J909&lt;0.6,"Pleasant","Hot"))</f>
        <v>Cold</v>
      </c>
      <c r="W909" s="1" t="str">
        <f>IF(L909&lt;0.4,"Low",
IF(L909&lt;0.7,"Medium","High"))</f>
        <v>Low</v>
      </c>
      <c r="X909" s="1" t="str">
        <f>IF(M909&lt;0.2,"Low",
IF(M909&lt;0.4,"Medium","High"))</f>
        <v>Low</v>
      </c>
      <c r="Y909" s="1" t="str">
        <f>IF(P909&lt;100,"Low",
IF(P909&lt;300,"Medium","High"))</f>
        <v>Medium</v>
      </c>
    </row>
    <row r="910" spans="1:25" x14ac:dyDescent="0.3">
      <c r="A910">
        <v>918</v>
      </c>
      <c r="B910" s="2">
        <v>40584</v>
      </c>
      <c r="C910">
        <v>1</v>
      </c>
      <c r="D910">
        <v>0</v>
      </c>
      <c r="E910">
        <v>2</v>
      </c>
      <c r="F910">
        <v>18</v>
      </c>
      <c r="G910" t="b">
        <v>0</v>
      </c>
      <c r="H910">
        <v>4</v>
      </c>
      <c r="I910">
        <v>1</v>
      </c>
      <c r="J910">
        <v>0.16</v>
      </c>
      <c r="K910">
        <v>0.18179999999999999</v>
      </c>
      <c r="L910">
        <v>0.28000000000000003</v>
      </c>
      <c r="M910">
        <v>0.1343</v>
      </c>
      <c r="N910">
        <v>3</v>
      </c>
      <c r="O910">
        <v>157</v>
      </c>
      <c r="P910">
        <v>160</v>
      </c>
      <c r="Q910" t="str">
        <f>VLOOKUP(MasterData[[#This Row],[season]],[1]Lookup!$A$2:$B$5,2,FALSE)</f>
        <v>Spring</v>
      </c>
      <c r="R910" t="str">
        <f>TEXT(DATE(2026,E910,1),"mmmm")</f>
        <v>February</v>
      </c>
      <c r="S910" t="str">
        <f>IF(OR(H910=0,H910=6),"Weekend","Weekday")</f>
        <v>Weekday</v>
      </c>
      <c r="T910" s="1" t="str">
        <f>VLOOKUP(I910,[1]Lookup!$D$2:$E$5,2,FALSE)</f>
        <v>Clear</v>
      </c>
      <c r="U910" s="1" t="str">
        <f>IF(F910&lt;6,"Night",
IF(F910&lt;12,"Morning",
IF(F910&lt;17,"Afternoon",
IF(F910&lt;21,"Evening","Night"))))</f>
        <v>Evening</v>
      </c>
      <c r="V910" s="1" t="str">
        <f>IF(J910&lt;0.3,"Cold",
IF(J910&lt;0.6,"Pleasant","Hot"))</f>
        <v>Cold</v>
      </c>
      <c r="W910" s="1" t="str">
        <f>IF(L910&lt;0.4,"Low",
IF(L910&lt;0.7,"Medium","High"))</f>
        <v>Low</v>
      </c>
      <c r="X910" s="1" t="str">
        <f>IF(M910&lt;0.2,"Low",
IF(M910&lt;0.4,"Medium","High"))</f>
        <v>Low</v>
      </c>
      <c r="Y910" s="1" t="str">
        <f>IF(P910&lt;100,"Low",
IF(P910&lt;300,"Medium","High"))</f>
        <v>Medium</v>
      </c>
    </row>
    <row r="911" spans="1:25" x14ac:dyDescent="0.3">
      <c r="A911">
        <v>919</v>
      </c>
      <c r="B911" s="2">
        <v>40584</v>
      </c>
      <c r="C911">
        <v>1</v>
      </c>
      <c r="D911">
        <v>0</v>
      </c>
      <c r="E911">
        <v>2</v>
      </c>
      <c r="F911">
        <v>19</v>
      </c>
      <c r="G911" t="b">
        <v>0</v>
      </c>
      <c r="H911">
        <v>4</v>
      </c>
      <c r="I911">
        <v>1</v>
      </c>
      <c r="J911">
        <v>0.14000000000000001</v>
      </c>
      <c r="K911">
        <v>0.16669999999999999</v>
      </c>
      <c r="L911">
        <v>0.28000000000000003</v>
      </c>
      <c r="M911">
        <v>0.1045</v>
      </c>
      <c r="N911">
        <v>2</v>
      </c>
      <c r="O911">
        <v>110</v>
      </c>
      <c r="P911">
        <v>112</v>
      </c>
      <c r="Q911" t="str">
        <f>VLOOKUP(MasterData[[#This Row],[season]],[1]Lookup!$A$2:$B$5,2,FALSE)</f>
        <v>Spring</v>
      </c>
      <c r="R911" t="str">
        <f>TEXT(DATE(2026,E911,1),"mmmm")</f>
        <v>February</v>
      </c>
      <c r="S911" t="str">
        <f>IF(OR(H911=0,H911=6),"Weekend","Weekday")</f>
        <v>Weekday</v>
      </c>
      <c r="T911" s="1" t="str">
        <f>VLOOKUP(I911,[1]Lookup!$D$2:$E$5,2,FALSE)</f>
        <v>Clear</v>
      </c>
      <c r="U911" s="1" t="str">
        <f>IF(F911&lt;6,"Night",
IF(F911&lt;12,"Morning",
IF(F911&lt;17,"Afternoon",
IF(F911&lt;21,"Evening","Night"))))</f>
        <v>Evening</v>
      </c>
      <c r="V911" s="1" t="str">
        <f>IF(J911&lt;0.3,"Cold",
IF(J911&lt;0.6,"Pleasant","Hot"))</f>
        <v>Cold</v>
      </c>
      <c r="W911" s="1" t="str">
        <f>IF(L911&lt;0.4,"Low",
IF(L911&lt;0.7,"Medium","High"))</f>
        <v>Low</v>
      </c>
      <c r="X911" s="1" t="str">
        <f>IF(M911&lt;0.2,"Low",
IF(M911&lt;0.4,"Medium","High"))</f>
        <v>Low</v>
      </c>
      <c r="Y911" s="1" t="str">
        <f>IF(P911&lt;100,"Low",
IF(P911&lt;300,"Medium","High"))</f>
        <v>Medium</v>
      </c>
    </row>
    <row r="912" spans="1:25" x14ac:dyDescent="0.3">
      <c r="A912">
        <v>920</v>
      </c>
      <c r="B912" s="2">
        <v>40584</v>
      </c>
      <c r="C912">
        <v>1</v>
      </c>
      <c r="D912">
        <v>0</v>
      </c>
      <c r="E912">
        <v>2</v>
      </c>
      <c r="F912">
        <v>20</v>
      </c>
      <c r="G912" t="b">
        <v>0</v>
      </c>
      <c r="H912">
        <v>4</v>
      </c>
      <c r="I912">
        <v>1</v>
      </c>
      <c r="J912">
        <v>0.14000000000000001</v>
      </c>
      <c r="K912">
        <v>0.18179999999999999</v>
      </c>
      <c r="L912">
        <v>0.31</v>
      </c>
      <c r="M912">
        <v>8.9599999999999999E-2</v>
      </c>
      <c r="N912">
        <v>4</v>
      </c>
      <c r="O912">
        <v>93</v>
      </c>
      <c r="P912">
        <v>97</v>
      </c>
      <c r="Q912" t="str">
        <f>VLOOKUP(MasterData[[#This Row],[season]],[1]Lookup!$A$2:$B$5,2,FALSE)</f>
        <v>Spring</v>
      </c>
      <c r="R912" t="str">
        <f>TEXT(DATE(2026,E912,1),"mmmm")</f>
        <v>February</v>
      </c>
      <c r="S912" t="str">
        <f>IF(OR(H912=0,H912=6),"Weekend","Weekday")</f>
        <v>Weekday</v>
      </c>
      <c r="T912" s="1" t="str">
        <f>VLOOKUP(I912,[1]Lookup!$D$2:$E$5,2,FALSE)</f>
        <v>Clear</v>
      </c>
      <c r="U912" s="1" t="str">
        <f>IF(F912&lt;6,"Night",
IF(F912&lt;12,"Morning",
IF(F912&lt;17,"Afternoon",
IF(F912&lt;21,"Evening","Night"))))</f>
        <v>Evening</v>
      </c>
      <c r="V912" s="1" t="str">
        <f>IF(J912&lt;0.3,"Cold",
IF(J912&lt;0.6,"Pleasant","Hot"))</f>
        <v>Cold</v>
      </c>
      <c r="W912" s="1" t="str">
        <f>IF(L912&lt;0.4,"Low",
IF(L912&lt;0.7,"Medium","High"))</f>
        <v>Low</v>
      </c>
      <c r="X912" s="1" t="str">
        <f>IF(M912&lt;0.2,"Low",
IF(M912&lt;0.4,"Medium","High"))</f>
        <v>Low</v>
      </c>
      <c r="Y912" s="1" t="str">
        <f>IF(P912&lt;100,"Low",
IF(P912&lt;300,"Medium","High"))</f>
        <v>Low</v>
      </c>
    </row>
    <row r="913" spans="1:25" x14ac:dyDescent="0.3">
      <c r="A913">
        <v>921</v>
      </c>
      <c r="B913" s="2">
        <v>40584</v>
      </c>
      <c r="C913">
        <v>1</v>
      </c>
      <c r="D913">
        <v>0</v>
      </c>
      <c r="E913">
        <v>2</v>
      </c>
      <c r="F913">
        <v>21</v>
      </c>
      <c r="G913" t="b">
        <v>0</v>
      </c>
      <c r="H913">
        <v>4</v>
      </c>
      <c r="I913">
        <v>1</v>
      </c>
      <c r="J913">
        <v>0.14000000000000001</v>
      </c>
      <c r="K913">
        <v>0.21210000000000001</v>
      </c>
      <c r="L913">
        <v>0.39</v>
      </c>
      <c r="M913">
        <v>0</v>
      </c>
      <c r="N913">
        <v>2</v>
      </c>
      <c r="O913">
        <v>70</v>
      </c>
      <c r="P913">
        <v>72</v>
      </c>
      <c r="Q913" t="str">
        <f>VLOOKUP(MasterData[[#This Row],[season]],[1]Lookup!$A$2:$B$5,2,FALSE)</f>
        <v>Spring</v>
      </c>
      <c r="R913" t="str">
        <f>TEXT(DATE(2026,E913,1),"mmmm")</f>
        <v>February</v>
      </c>
      <c r="S913" t="str">
        <f>IF(OR(H913=0,H913=6),"Weekend","Weekday")</f>
        <v>Weekday</v>
      </c>
      <c r="T913" s="1" t="str">
        <f>VLOOKUP(I913,[1]Lookup!$D$2:$E$5,2,FALSE)</f>
        <v>Clear</v>
      </c>
      <c r="U913" s="1" t="str">
        <f>IF(F913&lt;6,"Night",
IF(F913&lt;12,"Morning",
IF(F913&lt;17,"Afternoon",
IF(F913&lt;21,"Evening","Night"))))</f>
        <v>Night</v>
      </c>
      <c r="V913" s="1" t="str">
        <f>IF(J913&lt;0.3,"Cold",
IF(J913&lt;0.6,"Pleasant","Hot"))</f>
        <v>Cold</v>
      </c>
      <c r="W913" s="1" t="str">
        <f>IF(L913&lt;0.4,"Low",
IF(L913&lt;0.7,"Medium","High"))</f>
        <v>Low</v>
      </c>
      <c r="X913" s="1" t="str">
        <f>IF(M913&lt;0.2,"Low",
IF(M913&lt;0.4,"Medium","High"))</f>
        <v>Low</v>
      </c>
      <c r="Y913" s="1" t="str">
        <f>IF(P913&lt;100,"Low",
IF(P913&lt;300,"Medium","High"))</f>
        <v>Low</v>
      </c>
    </row>
    <row r="914" spans="1:25" x14ac:dyDescent="0.3">
      <c r="A914">
        <v>922</v>
      </c>
      <c r="B914" s="2">
        <v>40584</v>
      </c>
      <c r="C914">
        <v>1</v>
      </c>
      <c r="D914">
        <v>0</v>
      </c>
      <c r="E914">
        <v>2</v>
      </c>
      <c r="F914">
        <v>22</v>
      </c>
      <c r="G914" t="b">
        <v>0</v>
      </c>
      <c r="H914">
        <v>4</v>
      </c>
      <c r="I914">
        <v>1</v>
      </c>
      <c r="J914">
        <v>0.12</v>
      </c>
      <c r="K914">
        <v>0.19700000000000001</v>
      </c>
      <c r="L914">
        <v>0.39</v>
      </c>
      <c r="M914">
        <v>0</v>
      </c>
      <c r="N914">
        <v>4</v>
      </c>
      <c r="O914">
        <v>47</v>
      </c>
      <c r="P914">
        <v>51</v>
      </c>
      <c r="Q914" t="str">
        <f>VLOOKUP(MasterData[[#This Row],[season]],[1]Lookup!$A$2:$B$5,2,FALSE)</f>
        <v>Spring</v>
      </c>
      <c r="R914" t="str">
        <f>TEXT(DATE(2026,E914,1),"mmmm")</f>
        <v>February</v>
      </c>
      <c r="S914" t="str">
        <f>IF(OR(H914=0,H914=6),"Weekend","Weekday")</f>
        <v>Weekday</v>
      </c>
      <c r="T914" s="1" t="str">
        <f>VLOOKUP(I914,[1]Lookup!$D$2:$E$5,2,FALSE)</f>
        <v>Clear</v>
      </c>
      <c r="U914" s="1" t="str">
        <f>IF(F914&lt;6,"Night",
IF(F914&lt;12,"Morning",
IF(F914&lt;17,"Afternoon",
IF(F914&lt;21,"Evening","Night"))))</f>
        <v>Night</v>
      </c>
      <c r="V914" s="1" t="str">
        <f>IF(J914&lt;0.3,"Cold",
IF(J914&lt;0.6,"Pleasant","Hot"))</f>
        <v>Cold</v>
      </c>
      <c r="W914" s="1" t="str">
        <f>IF(L914&lt;0.4,"Low",
IF(L914&lt;0.7,"Medium","High"))</f>
        <v>Low</v>
      </c>
      <c r="X914" s="1" t="str">
        <f>IF(M914&lt;0.2,"Low",
IF(M914&lt;0.4,"Medium","High"))</f>
        <v>Low</v>
      </c>
      <c r="Y914" s="1" t="str">
        <f>IF(P914&lt;100,"Low",
IF(P914&lt;300,"Medium","High"))</f>
        <v>Low</v>
      </c>
    </row>
    <row r="915" spans="1:25" x14ac:dyDescent="0.3">
      <c r="A915">
        <v>923</v>
      </c>
      <c r="B915" s="2">
        <v>40584</v>
      </c>
      <c r="C915">
        <v>1</v>
      </c>
      <c r="D915">
        <v>0</v>
      </c>
      <c r="E915">
        <v>2</v>
      </c>
      <c r="F915">
        <v>23</v>
      </c>
      <c r="G915" t="b">
        <v>0</v>
      </c>
      <c r="H915">
        <v>4</v>
      </c>
      <c r="I915">
        <v>1</v>
      </c>
      <c r="J915">
        <v>0.12</v>
      </c>
      <c r="K915">
        <v>0.1515</v>
      </c>
      <c r="L915">
        <v>0.42</v>
      </c>
      <c r="M915">
        <v>0.1045</v>
      </c>
      <c r="N915">
        <v>1</v>
      </c>
      <c r="O915">
        <v>33</v>
      </c>
      <c r="P915">
        <v>34</v>
      </c>
      <c r="Q915" t="str">
        <f>VLOOKUP(MasterData[[#This Row],[season]],[1]Lookup!$A$2:$B$5,2,FALSE)</f>
        <v>Spring</v>
      </c>
      <c r="R915" t="str">
        <f>TEXT(DATE(2026,E915,1),"mmmm")</f>
        <v>February</v>
      </c>
      <c r="S915" t="str">
        <f>IF(OR(H915=0,H915=6),"Weekend","Weekday")</f>
        <v>Weekday</v>
      </c>
      <c r="T915" s="1" t="str">
        <f>VLOOKUP(I915,[1]Lookup!$D$2:$E$5,2,FALSE)</f>
        <v>Clear</v>
      </c>
      <c r="U915" s="1" t="str">
        <f>IF(F915&lt;6,"Night",
IF(F915&lt;12,"Morning",
IF(F915&lt;17,"Afternoon",
IF(F915&lt;21,"Evening","Night"))))</f>
        <v>Night</v>
      </c>
      <c r="V915" s="1" t="str">
        <f>IF(J915&lt;0.3,"Cold",
IF(J915&lt;0.6,"Pleasant","Hot"))</f>
        <v>Cold</v>
      </c>
      <c r="W915" s="1" t="str">
        <f>IF(L915&lt;0.4,"Low",
IF(L915&lt;0.7,"Medium","High"))</f>
        <v>Medium</v>
      </c>
      <c r="X915" s="1" t="str">
        <f>IF(M915&lt;0.2,"Low",
IF(M915&lt;0.4,"Medium","High"))</f>
        <v>Low</v>
      </c>
      <c r="Y915" s="1" t="str">
        <f>IF(P915&lt;100,"Low",
IF(P915&lt;300,"Medium","High"))</f>
        <v>Low</v>
      </c>
    </row>
    <row r="916" spans="1:25" x14ac:dyDescent="0.3">
      <c r="A916">
        <v>924</v>
      </c>
      <c r="B916" s="2">
        <v>40585</v>
      </c>
      <c r="C916">
        <v>1</v>
      </c>
      <c r="D916">
        <v>0</v>
      </c>
      <c r="E916">
        <v>2</v>
      </c>
      <c r="F916">
        <v>0</v>
      </c>
      <c r="G916" t="b">
        <v>0</v>
      </c>
      <c r="H916">
        <v>5</v>
      </c>
      <c r="I916">
        <v>1</v>
      </c>
      <c r="J916">
        <v>0.1</v>
      </c>
      <c r="K916">
        <v>0.13639999999999999</v>
      </c>
      <c r="L916">
        <v>0.49</v>
      </c>
      <c r="M916">
        <v>0.1045</v>
      </c>
      <c r="N916">
        <v>2</v>
      </c>
      <c r="O916">
        <v>12</v>
      </c>
      <c r="P916">
        <v>14</v>
      </c>
      <c r="Q916" t="str">
        <f>VLOOKUP(MasterData[[#This Row],[season]],[1]Lookup!$A$2:$B$5,2,FALSE)</f>
        <v>Spring</v>
      </c>
      <c r="R916" t="str">
        <f>TEXT(DATE(2026,E916,1),"mmmm")</f>
        <v>February</v>
      </c>
      <c r="S916" t="str">
        <f>IF(OR(H916=0,H916=6),"Weekend","Weekday")</f>
        <v>Weekday</v>
      </c>
      <c r="T916" s="1" t="str">
        <f>VLOOKUP(I916,[1]Lookup!$D$2:$E$5,2,FALSE)</f>
        <v>Clear</v>
      </c>
      <c r="U916" s="1" t="str">
        <f>IF(F916&lt;6,"Night",
IF(F916&lt;12,"Morning",
IF(F916&lt;17,"Afternoon",
IF(F916&lt;21,"Evening","Night"))))</f>
        <v>Night</v>
      </c>
      <c r="V916" s="1" t="str">
        <f>IF(J916&lt;0.3,"Cold",
IF(J916&lt;0.6,"Pleasant","Hot"))</f>
        <v>Cold</v>
      </c>
      <c r="W916" s="1" t="str">
        <f>IF(L916&lt;0.4,"Low",
IF(L916&lt;0.7,"Medium","High"))</f>
        <v>Medium</v>
      </c>
      <c r="X916" s="1" t="str">
        <f>IF(M916&lt;0.2,"Low",
IF(M916&lt;0.4,"Medium","High"))</f>
        <v>Low</v>
      </c>
      <c r="Y916" s="1" t="str">
        <f>IF(P916&lt;100,"Low",
IF(P916&lt;300,"Medium","High"))</f>
        <v>Low</v>
      </c>
    </row>
    <row r="917" spans="1:25" x14ac:dyDescent="0.3">
      <c r="A917">
        <v>925</v>
      </c>
      <c r="B917" s="2">
        <v>40585</v>
      </c>
      <c r="C917">
        <v>1</v>
      </c>
      <c r="D917">
        <v>0</v>
      </c>
      <c r="E917">
        <v>2</v>
      </c>
      <c r="F917">
        <v>1</v>
      </c>
      <c r="G917" t="b">
        <v>0</v>
      </c>
      <c r="H917">
        <v>5</v>
      </c>
      <c r="I917">
        <v>1</v>
      </c>
      <c r="J917">
        <v>0.1</v>
      </c>
      <c r="K917">
        <v>0.13639999999999999</v>
      </c>
      <c r="L917">
        <v>0.54</v>
      </c>
      <c r="M917">
        <v>8.9599999999999999E-2</v>
      </c>
      <c r="N917">
        <v>1</v>
      </c>
      <c r="O917">
        <v>6</v>
      </c>
      <c r="P917">
        <v>7</v>
      </c>
      <c r="Q917" t="str">
        <f>VLOOKUP(MasterData[[#This Row],[season]],[1]Lookup!$A$2:$B$5,2,FALSE)</f>
        <v>Spring</v>
      </c>
      <c r="R917" t="str">
        <f>TEXT(DATE(2026,E917,1),"mmmm")</f>
        <v>February</v>
      </c>
      <c r="S917" t="str">
        <f>IF(OR(H917=0,H917=6),"Weekend","Weekday")</f>
        <v>Weekday</v>
      </c>
      <c r="T917" s="1" t="str">
        <f>VLOOKUP(I917,[1]Lookup!$D$2:$E$5,2,FALSE)</f>
        <v>Clear</v>
      </c>
      <c r="U917" s="1" t="str">
        <f>IF(F917&lt;6,"Night",
IF(F917&lt;12,"Morning",
IF(F917&lt;17,"Afternoon",
IF(F917&lt;21,"Evening","Night"))))</f>
        <v>Night</v>
      </c>
      <c r="V917" s="1" t="str">
        <f>IF(J917&lt;0.3,"Cold",
IF(J917&lt;0.6,"Pleasant","Hot"))</f>
        <v>Cold</v>
      </c>
      <c r="W917" s="1" t="str">
        <f>IF(L917&lt;0.4,"Low",
IF(L917&lt;0.7,"Medium","High"))</f>
        <v>Medium</v>
      </c>
      <c r="X917" s="1" t="str">
        <f>IF(M917&lt;0.2,"Low",
IF(M917&lt;0.4,"Medium","High"))</f>
        <v>Low</v>
      </c>
      <c r="Y917" s="1" t="str">
        <f>IF(P917&lt;100,"Low",
IF(P917&lt;300,"Medium","High"))</f>
        <v>Low</v>
      </c>
    </row>
    <row r="918" spans="1:25" x14ac:dyDescent="0.3">
      <c r="A918">
        <v>926</v>
      </c>
      <c r="B918" s="2">
        <v>40585</v>
      </c>
      <c r="C918">
        <v>1</v>
      </c>
      <c r="D918">
        <v>0</v>
      </c>
      <c r="E918">
        <v>2</v>
      </c>
      <c r="F918">
        <v>2</v>
      </c>
      <c r="G918" t="b">
        <v>0</v>
      </c>
      <c r="H918">
        <v>5</v>
      </c>
      <c r="I918">
        <v>1</v>
      </c>
      <c r="J918">
        <v>0.1</v>
      </c>
      <c r="K918">
        <v>0.13639999999999999</v>
      </c>
      <c r="L918">
        <v>0.54</v>
      </c>
      <c r="M918">
        <v>8.9599999999999999E-2</v>
      </c>
      <c r="N918">
        <v>0</v>
      </c>
      <c r="O918">
        <v>3</v>
      </c>
      <c r="P918">
        <v>3</v>
      </c>
      <c r="Q918" t="str">
        <f>VLOOKUP(MasterData[[#This Row],[season]],[1]Lookup!$A$2:$B$5,2,FALSE)</f>
        <v>Spring</v>
      </c>
      <c r="R918" t="str">
        <f>TEXT(DATE(2026,E918,1),"mmmm")</f>
        <v>February</v>
      </c>
      <c r="S918" t="str">
        <f>IF(OR(H918=0,H918=6),"Weekend","Weekday")</f>
        <v>Weekday</v>
      </c>
      <c r="T918" s="1" t="str">
        <f>VLOOKUP(I918,[1]Lookup!$D$2:$E$5,2,FALSE)</f>
        <v>Clear</v>
      </c>
      <c r="U918" s="1" t="str">
        <f>IF(F918&lt;6,"Night",
IF(F918&lt;12,"Morning",
IF(F918&lt;17,"Afternoon",
IF(F918&lt;21,"Evening","Night"))))</f>
        <v>Night</v>
      </c>
      <c r="V918" s="1" t="str">
        <f>IF(J918&lt;0.3,"Cold",
IF(J918&lt;0.6,"Pleasant","Hot"))</f>
        <v>Cold</v>
      </c>
      <c r="W918" s="1" t="str">
        <f>IF(L918&lt;0.4,"Low",
IF(L918&lt;0.7,"Medium","High"))</f>
        <v>Medium</v>
      </c>
      <c r="X918" s="1" t="str">
        <f>IF(M918&lt;0.2,"Low",
IF(M918&lt;0.4,"Medium","High"))</f>
        <v>Low</v>
      </c>
      <c r="Y918" s="1" t="str">
        <f>IF(P918&lt;100,"Low",
IF(P918&lt;300,"Medium","High"))</f>
        <v>Low</v>
      </c>
    </row>
    <row r="919" spans="1:25" x14ac:dyDescent="0.3">
      <c r="A919">
        <v>927</v>
      </c>
      <c r="B919" s="2">
        <v>40585</v>
      </c>
      <c r="C919">
        <v>1</v>
      </c>
      <c r="D919">
        <v>0</v>
      </c>
      <c r="E919">
        <v>2</v>
      </c>
      <c r="F919">
        <v>5</v>
      </c>
      <c r="G919" t="b">
        <v>0</v>
      </c>
      <c r="H919">
        <v>5</v>
      </c>
      <c r="I919">
        <v>1</v>
      </c>
      <c r="J919">
        <v>0.08</v>
      </c>
      <c r="K919">
        <v>0.1212</v>
      </c>
      <c r="L919">
        <v>0.63</v>
      </c>
      <c r="M919">
        <v>8.9599999999999999E-2</v>
      </c>
      <c r="N919">
        <v>0</v>
      </c>
      <c r="O919">
        <v>4</v>
      </c>
      <c r="P919">
        <v>4</v>
      </c>
      <c r="Q919" t="str">
        <f>VLOOKUP(MasterData[[#This Row],[season]],[1]Lookup!$A$2:$B$5,2,FALSE)</f>
        <v>Spring</v>
      </c>
      <c r="R919" t="str">
        <f>TEXT(DATE(2026,E919,1),"mmmm")</f>
        <v>February</v>
      </c>
      <c r="S919" t="str">
        <f>IF(OR(H919=0,H919=6),"Weekend","Weekday")</f>
        <v>Weekday</v>
      </c>
      <c r="T919" s="1" t="str">
        <f>VLOOKUP(I919,[1]Lookup!$D$2:$E$5,2,FALSE)</f>
        <v>Clear</v>
      </c>
      <c r="U919" s="1" t="str">
        <f>IF(F919&lt;6,"Night",
IF(F919&lt;12,"Morning",
IF(F919&lt;17,"Afternoon",
IF(F919&lt;21,"Evening","Night"))))</f>
        <v>Night</v>
      </c>
      <c r="V919" s="1" t="str">
        <f>IF(J919&lt;0.3,"Cold",
IF(J919&lt;0.6,"Pleasant","Hot"))</f>
        <v>Cold</v>
      </c>
      <c r="W919" s="1" t="str">
        <f>IF(L919&lt;0.4,"Low",
IF(L919&lt;0.7,"Medium","High"))</f>
        <v>Medium</v>
      </c>
      <c r="X919" s="1" t="str">
        <f>IF(M919&lt;0.2,"Low",
IF(M919&lt;0.4,"Medium","High"))</f>
        <v>Low</v>
      </c>
      <c r="Y919" s="1" t="str">
        <f>IF(P919&lt;100,"Low",
IF(P919&lt;300,"Medium","High"))</f>
        <v>Low</v>
      </c>
    </row>
    <row r="920" spans="1:25" x14ac:dyDescent="0.3">
      <c r="A920">
        <v>928</v>
      </c>
      <c r="B920" s="2">
        <v>40585</v>
      </c>
      <c r="C920">
        <v>1</v>
      </c>
      <c r="D920">
        <v>0</v>
      </c>
      <c r="E920">
        <v>2</v>
      </c>
      <c r="F920">
        <v>6</v>
      </c>
      <c r="G920" t="b">
        <v>0</v>
      </c>
      <c r="H920">
        <v>5</v>
      </c>
      <c r="I920">
        <v>1</v>
      </c>
      <c r="J920">
        <v>0.1</v>
      </c>
      <c r="K920">
        <v>0.18179999999999999</v>
      </c>
      <c r="L920">
        <v>0.68</v>
      </c>
      <c r="M920">
        <v>0</v>
      </c>
      <c r="N920">
        <v>1</v>
      </c>
      <c r="O920">
        <v>23</v>
      </c>
      <c r="P920">
        <v>24</v>
      </c>
      <c r="Q920" t="str">
        <f>VLOOKUP(MasterData[[#This Row],[season]],[1]Lookup!$A$2:$B$5,2,FALSE)</f>
        <v>Spring</v>
      </c>
      <c r="R920" t="str">
        <f>TEXT(DATE(2026,E920,1),"mmmm")</f>
        <v>February</v>
      </c>
      <c r="S920" t="str">
        <f>IF(OR(H920=0,H920=6),"Weekend","Weekday")</f>
        <v>Weekday</v>
      </c>
      <c r="T920" s="1" t="str">
        <f>VLOOKUP(I920,[1]Lookup!$D$2:$E$5,2,FALSE)</f>
        <v>Clear</v>
      </c>
      <c r="U920" s="1" t="str">
        <f>IF(F920&lt;6,"Night",
IF(F920&lt;12,"Morning",
IF(F920&lt;17,"Afternoon",
IF(F920&lt;21,"Evening","Night"))))</f>
        <v>Morning</v>
      </c>
      <c r="V920" s="1" t="str">
        <f>IF(J920&lt;0.3,"Cold",
IF(J920&lt;0.6,"Pleasant","Hot"))</f>
        <v>Cold</v>
      </c>
      <c r="W920" s="1" t="str">
        <f>IF(L920&lt;0.4,"Low",
IF(L920&lt;0.7,"Medium","High"))</f>
        <v>Medium</v>
      </c>
      <c r="X920" s="1" t="str">
        <f>IF(M920&lt;0.2,"Low",
IF(M920&lt;0.4,"Medium","High"))</f>
        <v>Low</v>
      </c>
      <c r="Y920" s="1" t="str">
        <f>IF(P920&lt;100,"Low",
IF(P920&lt;300,"Medium","High"))</f>
        <v>Low</v>
      </c>
    </row>
    <row r="921" spans="1:25" x14ac:dyDescent="0.3">
      <c r="A921">
        <v>929</v>
      </c>
      <c r="B921" s="2">
        <v>40585</v>
      </c>
      <c r="C921">
        <v>1</v>
      </c>
      <c r="D921">
        <v>0</v>
      </c>
      <c r="E921">
        <v>2</v>
      </c>
      <c r="F921">
        <v>7</v>
      </c>
      <c r="G921" t="b">
        <v>0</v>
      </c>
      <c r="H921">
        <v>5</v>
      </c>
      <c r="I921">
        <v>1</v>
      </c>
      <c r="J921">
        <v>0.08</v>
      </c>
      <c r="K921">
        <v>0.16669999999999999</v>
      </c>
      <c r="L921">
        <v>0.73</v>
      </c>
      <c r="M921">
        <v>0</v>
      </c>
      <c r="N921">
        <v>1</v>
      </c>
      <c r="O921">
        <v>73</v>
      </c>
      <c r="P921">
        <v>74</v>
      </c>
      <c r="Q921" t="str">
        <f>VLOOKUP(MasterData[[#This Row],[season]],[1]Lookup!$A$2:$B$5,2,FALSE)</f>
        <v>Spring</v>
      </c>
      <c r="R921" t="str">
        <f>TEXT(DATE(2026,E921,1),"mmmm")</f>
        <v>February</v>
      </c>
      <c r="S921" t="str">
        <f>IF(OR(H921=0,H921=6),"Weekend","Weekday")</f>
        <v>Weekday</v>
      </c>
      <c r="T921" s="1" t="str">
        <f>VLOOKUP(I921,[1]Lookup!$D$2:$E$5,2,FALSE)</f>
        <v>Clear</v>
      </c>
      <c r="U921" s="1" t="str">
        <f>IF(F921&lt;6,"Night",
IF(F921&lt;12,"Morning",
IF(F921&lt;17,"Afternoon",
IF(F921&lt;21,"Evening","Night"))))</f>
        <v>Morning</v>
      </c>
      <c r="V921" s="1" t="str">
        <f>IF(J921&lt;0.3,"Cold",
IF(J921&lt;0.6,"Pleasant","Hot"))</f>
        <v>Cold</v>
      </c>
      <c r="W921" s="1" t="str">
        <f>IF(L921&lt;0.4,"Low",
IF(L921&lt;0.7,"Medium","High"))</f>
        <v>High</v>
      </c>
      <c r="X921" s="1" t="str">
        <f>IF(M921&lt;0.2,"Low",
IF(M921&lt;0.4,"Medium","High"))</f>
        <v>Low</v>
      </c>
      <c r="Y921" s="1" t="str">
        <f>IF(P921&lt;100,"Low",
IF(P921&lt;300,"Medium","High"))</f>
        <v>Low</v>
      </c>
    </row>
    <row r="922" spans="1:25" x14ac:dyDescent="0.3">
      <c r="A922">
        <v>930</v>
      </c>
      <c r="B922" s="2">
        <v>40585</v>
      </c>
      <c r="C922">
        <v>1</v>
      </c>
      <c r="D922">
        <v>0</v>
      </c>
      <c r="E922">
        <v>2</v>
      </c>
      <c r="F922">
        <v>8</v>
      </c>
      <c r="G922" t="b">
        <v>0</v>
      </c>
      <c r="H922">
        <v>5</v>
      </c>
      <c r="I922">
        <v>1</v>
      </c>
      <c r="J922">
        <v>0.1</v>
      </c>
      <c r="K922">
        <v>0.1212</v>
      </c>
      <c r="L922">
        <v>0.74</v>
      </c>
      <c r="M922">
        <v>0.16420000000000001</v>
      </c>
      <c r="N922">
        <v>4</v>
      </c>
      <c r="O922">
        <v>212</v>
      </c>
      <c r="P922">
        <v>216</v>
      </c>
      <c r="Q922" t="str">
        <f>VLOOKUP(MasterData[[#This Row],[season]],[1]Lookup!$A$2:$B$5,2,FALSE)</f>
        <v>Spring</v>
      </c>
      <c r="R922" t="str">
        <f>TEXT(DATE(2026,E922,1),"mmmm")</f>
        <v>February</v>
      </c>
      <c r="S922" t="str">
        <f>IF(OR(H922=0,H922=6),"Weekend","Weekday")</f>
        <v>Weekday</v>
      </c>
      <c r="T922" s="1" t="str">
        <f>VLOOKUP(I922,[1]Lookup!$D$2:$E$5,2,FALSE)</f>
        <v>Clear</v>
      </c>
      <c r="U922" s="1" t="str">
        <f>IF(F922&lt;6,"Night",
IF(F922&lt;12,"Morning",
IF(F922&lt;17,"Afternoon",
IF(F922&lt;21,"Evening","Night"))))</f>
        <v>Morning</v>
      </c>
      <c r="V922" s="1" t="str">
        <f>IF(J922&lt;0.3,"Cold",
IF(J922&lt;0.6,"Pleasant","Hot"))</f>
        <v>Cold</v>
      </c>
      <c r="W922" s="1" t="str">
        <f>IF(L922&lt;0.4,"Low",
IF(L922&lt;0.7,"Medium","High"))</f>
        <v>High</v>
      </c>
      <c r="X922" s="1" t="str">
        <f>IF(M922&lt;0.2,"Low",
IF(M922&lt;0.4,"Medium","High"))</f>
        <v>Low</v>
      </c>
      <c r="Y922" s="1" t="str">
        <f>IF(P922&lt;100,"Low",
IF(P922&lt;300,"Medium","High"))</f>
        <v>Medium</v>
      </c>
    </row>
    <row r="923" spans="1:25" x14ac:dyDescent="0.3">
      <c r="A923">
        <v>931</v>
      </c>
      <c r="B923" s="2">
        <v>40585</v>
      </c>
      <c r="C923">
        <v>1</v>
      </c>
      <c r="D923">
        <v>0</v>
      </c>
      <c r="E923">
        <v>2</v>
      </c>
      <c r="F923">
        <v>9</v>
      </c>
      <c r="G923" t="b">
        <v>0</v>
      </c>
      <c r="H923">
        <v>5</v>
      </c>
      <c r="I923">
        <v>1</v>
      </c>
      <c r="J923">
        <v>0.12</v>
      </c>
      <c r="K923">
        <v>0.1212</v>
      </c>
      <c r="L923">
        <v>0.74</v>
      </c>
      <c r="M923">
        <v>0.22389999999999999</v>
      </c>
      <c r="N923">
        <v>8</v>
      </c>
      <c r="O923">
        <v>132</v>
      </c>
      <c r="P923">
        <v>140</v>
      </c>
      <c r="Q923" t="str">
        <f>VLOOKUP(MasterData[[#This Row],[season]],[1]Lookup!$A$2:$B$5,2,FALSE)</f>
        <v>Spring</v>
      </c>
      <c r="R923" t="str">
        <f>TEXT(DATE(2026,E923,1),"mmmm")</f>
        <v>February</v>
      </c>
      <c r="S923" t="str">
        <f>IF(OR(H923=0,H923=6),"Weekend","Weekday")</f>
        <v>Weekday</v>
      </c>
      <c r="T923" s="1" t="str">
        <f>VLOOKUP(I923,[1]Lookup!$D$2:$E$5,2,FALSE)</f>
        <v>Clear</v>
      </c>
      <c r="U923" s="1" t="str">
        <f>IF(F923&lt;6,"Night",
IF(F923&lt;12,"Morning",
IF(F923&lt;17,"Afternoon",
IF(F923&lt;21,"Evening","Night"))))</f>
        <v>Morning</v>
      </c>
      <c r="V923" s="1" t="str">
        <f>IF(J923&lt;0.3,"Cold",
IF(J923&lt;0.6,"Pleasant","Hot"))</f>
        <v>Cold</v>
      </c>
      <c r="W923" s="1" t="str">
        <f>IF(L923&lt;0.4,"Low",
IF(L923&lt;0.7,"Medium","High"))</f>
        <v>High</v>
      </c>
      <c r="X923" s="1" t="str">
        <f>IF(M923&lt;0.2,"Low",
IF(M923&lt;0.4,"Medium","High"))</f>
        <v>Medium</v>
      </c>
      <c r="Y923" s="1" t="str">
        <f>IF(P923&lt;100,"Low",
IF(P923&lt;300,"Medium","High"))</f>
        <v>Medium</v>
      </c>
    </row>
    <row r="924" spans="1:25" x14ac:dyDescent="0.3">
      <c r="A924">
        <v>932</v>
      </c>
      <c r="B924" s="2">
        <v>40585</v>
      </c>
      <c r="C924">
        <v>1</v>
      </c>
      <c r="D924">
        <v>0</v>
      </c>
      <c r="E924">
        <v>2</v>
      </c>
      <c r="F924">
        <v>10</v>
      </c>
      <c r="G924" t="b">
        <v>0</v>
      </c>
      <c r="H924">
        <v>5</v>
      </c>
      <c r="I924">
        <v>1</v>
      </c>
      <c r="J924">
        <v>0.14000000000000001</v>
      </c>
      <c r="K924">
        <v>0.13639999999999999</v>
      </c>
      <c r="L924">
        <v>0.69</v>
      </c>
      <c r="M924">
        <v>0.19400000000000001</v>
      </c>
      <c r="N924">
        <v>5</v>
      </c>
      <c r="O924">
        <v>39</v>
      </c>
      <c r="P924">
        <v>44</v>
      </c>
      <c r="Q924" t="str">
        <f>VLOOKUP(MasterData[[#This Row],[season]],[1]Lookup!$A$2:$B$5,2,FALSE)</f>
        <v>Spring</v>
      </c>
      <c r="R924" t="str">
        <f>TEXT(DATE(2026,E924,1),"mmmm")</f>
        <v>February</v>
      </c>
      <c r="S924" t="str">
        <f>IF(OR(H924=0,H924=6),"Weekend","Weekday")</f>
        <v>Weekday</v>
      </c>
      <c r="T924" s="1" t="str">
        <f>VLOOKUP(I924,[1]Lookup!$D$2:$E$5,2,FALSE)</f>
        <v>Clear</v>
      </c>
      <c r="U924" s="1" t="str">
        <f>IF(F924&lt;6,"Night",
IF(F924&lt;12,"Morning",
IF(F924&lt;17,"Afternoon",
IF(F924&lt;21,"Evening","Night"))))</f>
        <v>Morning</v>
      </c>
      <c r="V924" s="1" t="str">
        <f>IF(J924&lt;0.3,"Cold",
IF(J924&lt;0.6,"Pleasant","Hot"))</f>
        <v>Cold</v>
      </c>
      <c r="W924" s="1" t="str">
        <f>IF(L924&lt;0.4,"Low",
IF(L924&lt;0.7,"Medium","High"))</f>
        <v>Medium</v>
      </c>
      <c r="X924" s="1" t="str">
        <f>IF(M924&lt;0.2,"Low",
IF(M924&lt;0.4,"Medium","High"))</f>
        <v>Low</v>
      </c>
      <c r="Y924" s="1" t="str">
        <f>IF(P924&lt;100,"Low",
IF(P924&lt;300,"Medium","High"))</f>
        <v>Low</v>
      </c>
    </row>
    <row r="925" spans="1:25" x14ac:dyDescent="0.3">
      <c r="A925">
        <v>933</v>
      </c>
      <c r="B925" s="2">
        <v>40585</v>
      </c>
      <c r="C925">
        <v>1</v>
      </c>
      <c r="D925">
        <v>0</v>
      </c>
      <c r="E925">
        <v>2</v>
      </c>
      <c r="F925">
        <v>11</v>
      </c>
      <c r="G925" t="b">
        <v>0</v>
      </c>
      <c r="H925">
        <v>5</v>
      </c>
      <c r="I925">
        <v>1</v>
      </c>
      <c r="J925">
        <v>0.22</v>
      </c>
      <c r="K925">
        <v>0.2273</v>
      </c>
      <c r="L925">
        <v>0.47</v>
      </c>
      <c r="M925">
        <v>0.1343</v>
      </c>
      <c r="N925">
        <v>12</v>
      </c>
      <c r="O925">
        <v>52</v>
      </c>
      <c r="P925">
        <v>64</v>
      </c>
      <c r="Q925" t="str">
        <f>VLOOKUP(MasterData[[#This Row],[season]],[1]Lookup!$A$2:$B$5,2,FALSE)</f>
        <v>Spring</v>
      </c>
      <c r="R925" t="str">
        <f>TEXT(DATE(2026,E925,1),"mmmm")</f>
        <v>February</v>
      </c>
      <c r="S925" t="str">
        <f>IF(OR(H925=0,H925=6),"Weekend","Weekday")</f>
        <v>Weekday</v>
      </c>
      <c r="T925" s="1" t="str">
        <f>VLOOKUP(I925,[1]Lookup!$D$2:$E$5,2,FALSE)</f>
        <v>Clear</v>
      </c>
      <c r="U925" s="1" t="str">
        <f>IF(F925&lt;6,"Night",
IF(F925&lt;12,"Morning",
IF(F925&lt;17,"Afternoon",
IF(F925&lt;21,"Evening","Night"))))</f>
        <v>Morning</v>
      </c>
      <c r="V925" s="1" t="str">
        <f>IF(J925&lt;0.3,"Cold",
IF(J925&lt;0.6,"Pleasant","Hot"))</f>
        <v>Cold</v>
      </c>
      <c r="W925" s="1" t="str">
        <f>IF(L925&lt;0.4,"Low",
IF(L925&lt;0.7,"Medium","High"))</f>
        <v>Medium</v>
      </c>
      <c r="X925" s="1" t="str">
        <f>IF(M925&lt;0.2,"Low",
IF(M925&lt;0.4,"Medium","High"))</f>
        <v>Low</v>
      </c>
      <c r="Y925" s="1" t="str">
        <f>IF(P925&lt;100,"Low",
IF(P925&lt;300,"Medium","High"))</f>
        <v>Low</v>
      </c>
    </row>
    <row r="926" spans="1:25" x14ac:dyDescent="0.3">
      <c r="A926">
        <v>934</v>
      </c>
      <c r="B926" s="2">
        <v>40585</v>
      </c>
      <c r="C926">
        <v>1</v>
      </c>
      <c r="D926">
        <v>0</v>
      </c>
      <c r="E926">
        <v>2</v>
      </c>
      <c r="F926">
        <v>12</v>
      </c>
      <c r="G926" t="b">
        <v>0</v>
      </c>
      <c r="H926">
        <v>5</v>
      </c>
      <c r="I926">
        <v>1</v>
      </c>
      <c r="J926">
        <v>0.22</v>
      </c>
      <c r="K926">
        <v>0.2273</v>
      </c>
      <c r="L926">
        <v>0.47</v>
      </c>
      <c r="M926">
        <v>0.1343</v>
      </c>
      <c r="N926">
        <v>7</v>
      </c>
      <c r="O926">
        <v>64</v>
      </c>
      <c r="P926">
        <v>71</v>
      </c>
      <c r="Q926" t="str">
        <f>VLOOKUP(MasterData[[#This Row],[season]],[1]Lookup!$A$2:$B$5,2,FALSE)</f>
        <v>Spring</v>
      </c>
      <c r="R926" t="str">
        <f>TEXT(DATE(2026,E926,1),"mmmm")</f>
        <v>February</v>
      </c>
      <c r="S926" t="str">
        <f>IF(OR(H926=0,H926=6),"Weekend","Weekday")</f>
        <v>Weekday</v>
      </c>
      <c r="T926" s="1" t="str">
        <f>VLOOKUP(I926,[1]Lookup!$D$2:$E$5,2,FALSE)</f>
        <v>Clear</v>
      </c>
      <c r="U926" s="1" t="str">
        <f>IF(F926&lt;6,"Night",
IF(F926&lt;12,"Morning",
IF(F926&lt;17,"Afternoon",
IF(F926&lt;21,"Evening","Night"))))</f>
        <v>Afternoon</v>
      </c>
      <c r="V926" s="1" t="str">
        <f>IF(J926&lt;0.3,"Cold",
IF(J926&lt;0.6,"Pleasant","Hot"))</f>
        <v>Cold</v>
      </c>
      <c r="W926" s="1" t="str">
        <f>IF(L926&lt;0.4,"Low",
IF(L926&lt;0.7,"Medium","High"))</f>
        <v>Medium</v>
      </c>
      <c r="X926" s="1" t="str">
        <f>IF(M926&lt;0.2,"Low",
IF(M926&lt;0.4,"Medium","High"))</f>
        <v>Low</v>
      </c>
      <c r="Y926" s="1" t="str">
        <f>IF(P926&lt;100,"Low",
IF(P926&lt;300,"Medium","High"))</f>
        <v>Low</v>
      </c>
    </row>
    <row r="927" spans="1:25" x14ac:dyDescent="0.3">
      <c r="A927">
        <v>935</v>
      </c>
      <c r="B927" s="2">
        <v>40585</v>
      </c>
      <c r="C927">
        <v>1</v>
      </c>
      <c r="D927">
        <v>0</v>
      </c>
      <c r="E927">
        <v>2</v>
      </c>
      <c r="F927">
        <v>13</v>
      </c>
      <c r="G927" t="b">
        <v>0</v>
      </c>
      <c r="H927">
        <v>5</v>
      </c>
      <c r="I927">
        <v>1</v>
      </c>
      <c r="J927">
        <v>0.24</v>
      </c>
      <c r="K927">
        <v>0.2273</v>
      </c>
      <c r="L927">
        <v>0.35</v>
      </c>
      <c r="M927">
        <v>0.19400000000000001</v>
      </c>
      <c r="N927">
        <v>21</v>
      </c>
      <c r="O927">
        <v>89</v>
      </c>
      <c r="P927">
        <v>110</v>
      </c>
      <c r="Q927" t="str">
        <f>VLOOKUP(MasterData[[#This Row],[season]],[1]Lookup!$A$2:$B$5,2,FALSE)</f>
        <v>Spring</v>
      </c>
      <c r="R927" t="str">
        <f>TEXT(DATE(2026,E927,1),"mmmm")</f>
        <v>February</v>
      </c>
      <c r="S927" t="str">
        <f>IF(OR(H927=0,H927=6),"Weekend","Weekday")</f>
        <v>Weekday</v>
      </c>
      <c r="T927" s="1" t="str">
        <f>VLOOKUP(I927,[1]Lookup!$D$2:$E$5,2,FALSE)</f>
        <v>Clear</v>
      </c>
      <c r="U927" s="1" t="str">
        <f>IF(F927&lt;6,"Night",
IF(F927&lt;12,"Morning",
IF(F927&lt;17,"Afternoon",
IF(F927&lt;21,"Evening","Night"))))</f>
        <v>Afternoon</v>
      </c>
      <c r="V927" s="1" t="str">
        <f>IF(J927&lt;0.3,"Cold",
IF(J927&lt;0.6,"Pleasant","Hot"))</f>
        <v>Cold</v>
      </c>
      <c r="W927" s="1" t="str">
        <f>IF(L927&lt;0.4,"Low",
IF(L927&lt;0.7,"Medium","High"))</f>
        <v>Low</v>
      </c>
      <c r="X927" s="1" t="str">
        <f>IF(M927&lt;0.2,"Low",
IF(M927&lt;0.4,"Medium","High"))</f>
        <v>Low</v>
      </c>
      <c r="Y927" s="1" t="str">
        <f>IF(P927&lt;100,"Low",
IF(P927&lt;300,"Medium","High"))</f>
        <v>Medium</v>
      </c>
    </row>
    <row r="928" spans="1:25" x14ac:dyDescent="0.3">
      <c r="A928">
        <v>936</v>
      </c>
      <c r="B928" s="2">
        <v>40585</v>
      </c>
      <c r="C928">
        <v>1</v>
      </c>
      <c r="D928">
        <v>0</v>
      </c>
      <c r="E928">
        <v>2</v>
      </c>
      <c r="F928">
        <v>14</v>
      </c>
      <c r="G928" t="b">
        <v>0</v>
      </c>
      <c r="H928">
        <v>5</v>
      </c>
      <c r="I928">
        <v>1</v>
      </c>
      <c r="J928">
        <v>0.3</v>
      </c>
      <c r="K928">
        <v>0.28789999999999999</v>
      </c>
      <c r="L928">
        <v>0.26</v>
      </c>
      <c r="M928">
        <v>0.25369999999999998</v>
      </c>
      <c r="N928">
        <v>17</v>
      </c>
      <c r="O928">
        <v>67</v>
      </c>
      <c r="P928">
        <v>84</v>
      </c>
      <c r="Q928" t="str">
        <f>VLOOKUP(MasterData[[#This Row],[season]],[1]Lookup!$A$2:$B$5,2,FALSE)</f>
        <v>Spring</v>
      </c>
      <c r="R928" t="str">
        <f>TEXT(DATE(2026,E928,1),"mmmm")</f>
        <v>February</v>
      </c>
      <c r="S928" t="str">
        <f>IF(OR(H928=0,H928=6),"Weekend","Weekday")</f>
        <v>Weekday</v>
      </c>
      <c r="T928" s="1" t="str">
        <f>VLOOKUP(I928,[1]Lookup!$D$2:$E$5,2,FALSE)</f>
        <v>Clear</v>
      </c>
      <c r="U928" s="1" t="str">
        <f>IF(F928&lt;6,"Night",
IF(F928&lt;12,"Morning",
IF(F928&lt;17,"Afternoon",
IF(F928&lt;21,"Evening","Night"))))</f>
        <v>Afternoon</v>
      </c>
      <c r="V928" s="1" t="str">
        <f>IF(J928&lt;0.3,"Cold",
IF(J928&lt;0.6,"Pleasant","Hot"))</f>
        <v>Pleasant</v>
      </c>
      <c r="W928" s="1" t="str">
        <f>IF(L928&lt;0.4,"Low",
IF(L928&lt;0.7,"Medium","High"))</f>
        <v>Low</v>
      </c>
      <c r="X928" s="1" t="str">
        <f>IF(M928&lt;0.2,"Low",
IF(M928&lt;0.4,"Medium","High"))</f>
        <v>Medium</v>
      </c>
      <c r="Y928" s="1" t="str">
        <f>IF(P928&lt;100,"Low",
IF(P928&lt;300,"Medium","High"))</f>
        <v>Low</v>
      </c>
    </row>
    <row r="929" spans="1:25" x14ac:dyDescent="0.3">
      <c r="A929">
        <v>937</v>
      </c>
      <c r="B929" s="2">
        <v>40585</v>
      </c>
      <c r="C929">
        <v>1</v>
      </c>
      <c r="D929">
        <v>0</v>
      </c>
      <c r="E929">
        <v>2</v>
      </c>
      <c r="F929">
        <v>15</v>
      </c>
      <c r="G929" t="b">
        <v>0</v>
      </c>
      <c r="H929">
        <v>5</v>
      </c>
      <c r="I929">
        <v>1</v>
      </c>
      <c r="J929">
        <v>0.32</v>
      </c>
      <c r="K929">
        <v>0.31819999999999998</v>
      </c>
      <c r="L929">
        <v>0.21</v>
      </c>
      <c r="M929">
        <v>0.16420000000000001</v>
      </c>
      <c r="N929">
        <v>12</v>
      </c>
      <c r="O929">
        <v>62</v>
      </c>
      <c r="P929">
        <v>74</v>
      </c>
      <c r="Q929" t="str">
        <f>VLOOKUP(MasterData[[#This Row],[season]],[1]Lookup!$A$2:$B$5,2,FALSE)</f>
        <v>Spring</v>
      </c>
      <c r="R929" t="str">
        <f>TEXT(DATE(2026,E929,1),"mmmm")</f>
        <v>February</v>
      </c>
      <c r="S929" t="str">
        <f>IF(OR(H929=0,H929=6),"Weekend","Weekday")</f>
        <v>Weekday</v>
      </c>
      <c r="T929" s="1" t="str">
        <f>VLOOKUP(I929,[1]Lookup!$D$2:$E$5,2,FALSE)</f>
        <v>Clear</v>
      </c>
      <c r="U929" s="1" t="str">
        <f>IF(F929&lt;6,"Night",
IF(F929&lt;12,"Morning",
IF(F929&lt;17,"Afternoon",
IF(F929&lt;21,"Evening","Night"))))</f>
        <v>Afternoon</v>
      </c>
      <c r="V929" s="1" t="str">
        <f>IF(J929&lt;0.3,"Cold",
IF(J929&lt;0.6,"Pleasant","Hot"))</f>
        <v>Pleasant</v>
      </c>
      <c r="W929" s="1" t="str">
        <f>IF(L929&lt;0.4,"Low",
IF(L929&lt;0.7,"Medium","High"))</f>
        <v>Low</v>
      </c>
      <c r="X929" s="1" t="str">
        <f>IF(M929&lt;0.2,"Low",
IF(M929&lt;0.4,"Medium","High"))</f>
        <v>Low</v>
      </c>
      <c r="Y929" s="1" t="str">
        <f>IF(P929&lt;100,"Low",
IF(P929&lt;300,"Medium","High"))</f>
        <v>Low</v>
      </c>
    </row>
    <row r="930" spans="1:25" x14ac:dyDescent="0.3">
      <c r="A930">
        <v>938</v>
      </c>
      <c r="B930" s="2">
        <v>40585</v>
      </c>
      <c r="C930">
        <v>1</v>
      </c>
      <c r="D930">
        <v>0</v>
      </c>
      <c r="E930">
        <v>2</v>
      </c>
      <c r="F930">
        <v>16</v>
      </c>
      <c r="G930" t="b">
        <v>0</v>
      </c>
      <c r="H930">
        <v>5</v>
      </c>
      <c r="I930">
        <v>1</v>
      </c>
      <c r="J930">
        <v>0.3</v>
      </c>
      <c r="K930">
        <v>0.28789999999999999</v>
      </c>
      <c r="L930">
        <v>0.28000000000000003</v>
      </c>
      <c r="M930">
        <v>0.19400000000000001</v>
      </c>
      <c r="N930">
        <v>14</v>
      </c>
      <c r="O930">
        <v>111</v>
      </c>
      <c r="P930">
        <v>125</v>
      </c>
      <c r="Q930" t="str">
        <f>VLOOKUP(MasterData[[#This Row],[season]],[1]Lookup!$A$2:$B$5,2,FALSE)</f>
        <v>Spring</v>
      </c>
      <c r="R930" t="str">
        <f>TEXT(DATE(2026,E930,1),"mmmm")</f>
        <v>February</v>
      </c>
      <c r="S930" t="str">
        <f>IF(OR(H930=0,H930=6),"Weekend","Weekday")</f>
        <v>Weekday</v>
      </c>
      <c r="T930" s="1" t="str">
        <f>VLOOKUP(I930,[1]Lookup!$D$2:$E$5,2,FALSE)</f>
        <v>Clear</v>
      </c>
      <c r="U930" s="1" t="str">
        <f>IF(F930&lt;6,"Night",
IF(F930&lt;12,"Morning",
IF(F930&lt;17,"Afternoon",
IF(F930&lt;21,"Evening","Night"))))</f>
        <v>Afternoon</v>
      </c>
      <c r="V930" s="1" t="str">
        <f>IF(J930&lt;0.3,"Cold",
IF(J930&lt;0.6,"Pleasant","Hot"))</f>
        <v>Pleasant</v>
      </c>
      <c r="W930" s="1" t="str">
        <f>IF(L930&lt;0.4,"Low",
IF(L930&lt;0.7,"Medium","High"))</f>
        <v>Low</v>
      </c>
      <c r="X930" s="1" t="str">
        <f>IF(M930&lt;0.2,"Low",
IF(M930&lt;0.4,"Medium","High"))</f>
        <v>Low</v>
      </c>
      <c r="Y930" s="1" t="str">
        <f>IF(P930&lt;100,"Low",
IF(P930&lt;300,"Medium","High"))</f>
        <v>Medium</v>
      </c>
    </row>
    <row r="931" spans="1:25" x14ac:dyDescent="0.3">
      <c r="A931">
        <v>939</v>
      </c>
      <c r="B931" s="2">
        <v>40585</v>
      </c>
      <c r="C931">
        <v>1</v>
      </c>
      <c r="D931">
        <v>0</v>
      </c>
      <c r="E931">
        <v>2</v>
      </c>
      <c r="F931">
        <v>17</v>
      </c>
      <c r="G931" t="b">
        <v>0</v>
      </c>
      <c r="H931">
        <v>5</v>
      </c>
      <c r="I931">
        <v>1</v>
      </c>
      <c r="J931">
        <v>0.3</v>
      </c>
      <c r="K931">
        <v>0.33329999999999999</v>
      </c>
      <c r="L931">
        <v>0.24</v>
      </c>
      <c r="M931">
        <v>0</v>
      </c>
      <c r="N931">
        <v>18</v>
      </c>
      <c r="O931">
        <v>193</v>
      </c>
      <c r="P931">
        <v>211</v>
      </c>
      <c r="Q931" t="str">
        <f>VLOOKUP(MasterData[[#This Row],[season]],[1]Lookup!$A$2:$B$5,2,FALSE)</f>
        <v>Spring</v>
      </c>
      <c r="R931" t="str">
        <f>TEXT(DATE(2026,E931,1),"mmmm")</f>
        <v>February</v>
      </c>
      <c r="S931" t="str">
        <f>IF(OR(H931=0,H931=6),"Weekend","Weekday")</f>
        <v>Weekday</v>
      </c>
      <c r="T931" s="1" t="str">
        <f>VLOOKUP(I931,[1]Lookup!$D$2:$E$5,2,FALSE)</f>
        <v>Clear</v>
      </c>
      <c r="U931" s="1" t="str">
        <f>IF(F931&lt;6,"Night",
IF(F931&lt;12,"Morning",
IF(F931&lt;17,"Afternoon",
IF(F931&lt;21,"Evening","Night"))))</f>
        <v>Evening</v>
      </c>
      <c r="V931" s="1" t="str">
        <f>IF(J931&lt;0.3,"Cold",
IF(J931&lt;0.6,"Pleasant","Hot"))</f>
        <v>Pleasant</v>
      </c>
      <c r="W931" s="1" t="str">
        <f>IF(L931&lt;0.4,"Low",
IF(L931&lt;0.7,"Medium","High"))</f>
        <v>Low</v>
      </c>
      <c r="X931" s="1" t="str">
        <f>IF(M931&lt;0.2,"Low",
IF(M931&lt;0.4,"Medium","High"))</f>
        <v>Low</v>
      </c>
      <c r="Y931" s="1" t="str">
        <f>IF(P931&lt;100,"Low",
IF(P931&lt;300,"Medium","High"))</f>
        <v>Medium</v>
      </c>
    </row>
    <row r="932" spans="1:25" x14ac:dyDescent="0.3">
      <c r="A932">
        <v>940</v>
      </c>
      <c r="B932" s="2">
        <v>40585</v>
      </c>
      <c r="C932">
        <v>1</v>
      </c>
      <c r="D932">
        <v>0</v>
      </c>
      <c r="E932">
        <v>2</v>
      </c>
      <c r="F932">
        <v>18</v>
      </c>
      <c r="G932" t="b">
        <v>0</v>
      </c>
      <c r="H932">
        <v>5</v>
      </c>
      <c r="I932">
        <v>1</v>
      </c>
      <c r="J932">
        <v>0.28000000000000003</v>
      </c>
      <c r="K932">
        <v>0.31819999999999998</v>
      </c>
      <c r="L932">
        <v>0.28000000000000003</v>
      </c>
      <c r="M932">
        <v>0</v>
      </c>
      <c r="N932">
        <v>9</v>
      </c>
      <c r="O932">
        <v>165</v>
      </c>
      <c r="P932">
        <v>174</v>
      </c>
      <c r="Q932" t="str">
        <f>VLOOKUP(MasterData[[#This Row],[season]],[1]Lookup!$A$2:$B$5,2,FALSE)</f>
        <v>Spring</v>
      </c>
      <c r="R932" t="str">
        <f>TEXT(DATE(2026,E932,1),"mmmm")</f>
        <v>February</v>
      </c>
      <c r="S932" t="str">
        <f>IF(OR(H932=0,H932=6),"Weekend","Weekday")</f>
        <v>Weekday</v>
      </c>
      <c r="T932" s="1" t="str">
        <f>VLOOKUP(I932,[1]Lookup!$D$2:$E$5,2,FALSE)</f>
        <v>Clear</v>
      </c>
      <c r="U932" s="1" t="str">
        <f>IF(F932&lt;6,"Night",
IF(F932&lt;12,"Morning",
IF(F932&lt;17,"Afternoon",
IF(F932&lt;21,"Evening","Night"))))</f>
        <v>Evening</v>
      </c>
      <c r="V932" s="1" t="str">
        <f>IF(J932&lt;0.3,"Cold",
IF(J932&lt;0.6,"Pleasant","Hot"))</f>
        <v>Cold</v>
      </c>
      <c r="W932" s="1" t="str">
        <f>IF(L932&lt;0.4,"Low",
IF(L932&lt;0.7,"Medium","High"))</f>
        <v>Low</v>
      </c>
      <c r="X932" s="1" t="str">
        <f>IF(M932&lt;0.2,"Low",
IF(M932&lt;0.4,"Medium","High"))</f>
        <v>Low</v>
      </c>
      <c r="Y932" s="1" t="str">
        <f>IF(P932&lt;100,"Low",
IF(P932&lt;300,"Medium","High"))</f>
        <v>Medium</v>
      </c>
    </row>
    <row r="933" spans="1:25" x14ac:dyDescent="0.3">
      <c r="A933">
        <v>941</v>
      </c>
      <c r="B933" s="2">
        <v>40585</v>
      </c>
      <c r="C933">
        <v>1</v>
      </c>
      <c r="D933">
        <v>0</v>
      </c>
      <c r="E933">
        <v>2</v>
      </c>
      <c r="F933">
        <v>19</v>
      </c>
      <c r="G933" t="b">
        <v>0</v>
      </c>
      <c r="H933">
        <v>5</v>
      </c>
      <c r="I933">
        <v>1</v>
      </c>
      <c r="J933">
        <v>0.26</v>
      </c>
      <c r="K933">
        <v>0.30299999999999999</v>
      </c>
      <c r="L933">
        <v>0.33</v>
      </c>
      <c r="M933">
        <v>0</v>
      </c>
      <c r="N933">
        <v>7</v>
      </c>
      <c r="O933">
        <v>94</v>
      </c>
      <c r="P933">
        <v>101</v>
      </c>
      <c r="Q933" t="str">
        <f>VLOOKUP(MasterData[[#This Row],[season]],[1]Lookup!$A$2:$B$5,2,FALSE)</f>
        <v>Spring</v>
      </c>
      <c r="R933" t="str">
        <f>TEXT(DATE(2026,E933,1),"mmmm")</f>
        <v>February</v>
      </c>
      <c r="S933" t="str">
        <f>IF(OR(H933=0,H933=6),"Weekend","Weekday")</f>
        <v>Weekday</v>
      </c>
      <c r="T933" s="1" t="str">
        <f>VLOOKUP(I933,[1]Lookup!$D$2:$E$5,2,FALSE)</f>
        <v>Clear</v>
      </c>
      <c r="U933" s="1" t="str">
        <f>IF(F933&lt;6,"Night",
IF(F933&lt;12,"Morning",
IF(F933&lt;17,"Afternoon",
IF(F933&lt;21,"Evening","Night"))))</f>
        <v>Evening</v>
      </c>
      <c r="V933" s="1" t="str">
        <f>IF(J933&lt;0.3,"Cold",
IF(J933&lt;0.6,"Pleasant","Hot"))</f>
        <v>Cold</v>
      </c>
      <c r="W933" s="1" t="str">
        <f>IF(L933&lt;0.4,"Low",
IF(L933&lt;0.7,"Medium","High"))</f>
        <v>Low</v>
      </c>
      <c r="X933" s="1" t="str">
        <f>IF(M933&lt;0.2,"Low",
IF(M933&lt;0.4,"Medium","High"))</f>
        <v>Low</v>
      </c>
      <c r="Y933" s="1" t="str">
        <f>IF(P933&lt;100,"Low",
IF(P933&lt;300,"Medium","High"))</f>
        <v>Medium</v>
      </c>
    </row>
    <row r="934" spans="1:25" x14ac:dyDescent="0.3">
      <c r="A934">
        <v>942</v>
      </c>
      <c r="B934" s="2">
        <v>40585</v>
      </c>
      <c r="C934">
        <v>1</v>
      </c>
      <c r="D934">
        <v>0</v>
      </c>
      <c r="E934">
        <v>2</v>
      </c>
      <c r="F934">
        <v>20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0.55000000000000004</v>
      </c>
      <c r="M934">
        <v>0.1343</v>
      </c>
      <c r="N934">
        <v>2</v>
      </c>
      <c r="O934">
        <v>61</v>
      </c>
      <c r="P934">
        <v>63</v>
      </c>
      <c r="Q934" t="str">
        <f>VLOOKUP(MasterData[[#This Row],[season]],[1]Lookup!$A$2:$B$5,2,FALSE)</f>
        <v>Spring</v>
      </c>
      <c r="R934" t="str">
        <f>TEXT(DATE(2026,E934,1),"mmmm")</f>
        <v>February</v>
      </c>
      <c r="S934" t="str">
        <f>IF(OR(H934=0,H934=6),"Weekend","Weekday")</f>
        <v>Weekday</v>
      </c>
      <c r="T934" s="1" t="str">
        <f>VLOOKUP(I934,[1]Lookup!$D$2:$E$5,2,FALSE)</f>
        <v>Clear</v>
      </c>
      <c r="U934" s="1" t="str">
        <f>IF(F934&lt;6,"Night",
IF(F934&lt;12,"Morning",
IF(F934&lt;17,"Afternoon",
IF(F934&lt;21,"Evening","Night"))))</f>
        <v>Evening</v>
      </c>
      <c r="V934" s="1" t="str">
        <f>IF(J934&lt;0.3,"Cold",
IF(J934&lt;0.6,"Pleasant","Hot"))</f>
        <v>Cold</v>
      </c>
      <c r="W934" s="1" t="str">
        <f>IF(L934&lt;0.4,"Low",
IF(L934&lt;0.7,"Medium","High"))</f>
        <v>Medium</v>
      </c>
      <c r="X934" s="1" t="str">
        <f>IF(M934&lt;0.2,"Low",
IF(M934&lt;0.4,"Medium","High"))</f>
        <v>Low</v>
      </c>
      <c r="Y934" s="1" t="str">
        <f>IF(P934&lt;100,"Low",
IF(P934&lt;300,"Medium","High"))</f>
        <v>Low</v>
      </c>
    </row>
    <row r="935" spans="1:25" x14ac:dyDescent="0.3">
      <c r="A935">
        <v>943</v>
      </c>
      <c r="B935" s="2">
        <v>40585</v>
      </c>
      <c r="C935">
        <v>1</v>
      </c>
      <c r="D935">
        <v>0</v>
      </c>
      <c r="E935">
        <v>2</v>
      </c>
      <c r="F935">
        <v>21</v>
      </c>
      <c r="G935" t="b">
        <v>0</v>
      </c>
      <c r="H935">
        <v>5</v>
      </c>
      <c r="I935">
        <v>1</v>
      </c>
      <c r="J935">
        <v>0.2</v>
      </c>
      <c r="K935">
        <v>0.21210000000000001</v>
      </c>
      <c r="L935">
        <v>0.59</v>
      </c>
      <c r="M935">
        <v>0.1343</v>
      </c>
      <c r="N935">
        <v>1</v>
      </c>
      <c r="O935">
        <v>46</v>
      </c>
      <c r="P935">
        <v>47</v>
      </c>
      <c r="Q935" t="str">
        <f>VLOOKUP(MasterData[[#This Row],[season]],[1]Lookup!$A$2:$B$5,2,FALSE)</f>
        <v>Spring</v>
      </c>
      <c r="R935" t="str">
        <f>TEXT(DATE(2026,E935,1),"mmmm")</f>
        <v>February</v>
      </c>
      <c r="S935" t="str">
        <f>IF(OR(H935=0,H935=6),"Weekend","Weekday")</f>
        <v>Weekday</v>
      </c>
      <c r="T935" s="1" t="str">
        <f>VLOOKUP(I935,[1]Lookup!$D$2:$E$5,2,FALSE)</f>
        <v>Clear</v>
      </c>
      <c r="U935" s="1" t="str">
        <f>IF(F935&lt;6,"Night",
IF(F935&lt;12,"Morning",
IF(F935&lt;17,"Afternoon",
IF(F935&lt;21,"Evening","Night"))))</f>
        <v>Night</v>
      </c>
      <c r="V935" s="1" t="str">
        <f>IF(J935&lt;0.3,"Cold",
IF(J935&lt;0.6,"Pleasant","Hot"))</f>
        <v>Cold</v>
      </c>
      <c r="W935" s="1" t="str">
        <f>IF(L935&lt;0.4,"Low",
IF(L935&lt;0.7,"Medium","High"))</f>
        <v>Medium</v>
      </c>
      <c r="X935" s="1" t="str">
        <f>IF(M935&lt;0.2,"Low",
IF(M935&lt;0.4,"Medium","High"))</f>
        <v>Low</v>
      </c>
      <c r="Y935" s="1" t="str">
        <f>IF(P935&lt;100,"Low",
IF(P935&lt;300,"Medium","High"))</f>
        <v>Low</v>
      </c>
    </row>
    <row r="936" spans="1:25" x14ac:dyDescent="0.3">
      <c r="A936">
        <v>944</v>
      </c>
      <c r="B936" s="2">
        <v>40585</v>
      </c>
      <c r="C936">
        <v>1</v>
      </c>
      <c r="D936">
        <v>0</v>
      </c>
      <c r="E936">
        <v>2</v>
      </c>
      <c r="F936">
        <v>22</v>
      </c>
      <c r="G936" t="b">
        <v>0</v>
      </c>
      <c r="H936">
        <v>5</v>
      </c>
      <c r="I936">
        <v>1</v>
      </c>
      <c r="J936">
        <v>0.2</v>
      </c>
      <c r="K936">
        <v>0.2273</v>
      </c>
      <c r="L936">
        <v>0.64</v>
      </c>
      <c r="M936">
        <v>8.9599999999999999E-2</v>
      </c>
      <c r="N936">
        <v>2</v>
      </c>
      <c r="O936">
        <v>41</v>
      </c>
      <c r="P936">
        <v>43</v>
      </c>
      <c r="Q936" t="str">
        <f>VLOOKUP(MasterData[[#This Row],[season]],[1]Lookup!$A$2:$B$5,2,FALSE)</f>
        <v>Spring</v>
      </c>
      <c r="R936" t="str">
        <f>TEXT(DATE(2026,E936,1),"mmmm")</f>
        <v>February</v>
      </c>
      <c r="S936" t="str">
        <f>IF(OR(H936=0,H936=6),"Weekend","Weekday")</f>
        <v>Weekday</v>
      </c>
      <c r="T936" s="1" t="str">
        <f>VLOOKUP(I936,[1]Lookup!$D$2:$E$5,2,FALSE)</f>
        <v>Clear</v>
      </c>
      <c r="U936" s="1" t="str">
        <f>IF(F936&lt;6,"Night",
IF(F936&lt;12,"Morning",
IF(F936&lt;17,"Afternoon",
IF(F936&lt;21,"Evening","Night"))))</f>
        <v>Night</v>
      </c>
      <c r="V936" s="1" t="str">
        <f>IF(J936&lt;0.3,"Cold",
IF(J936&lt;0.6,"Pleasant","Hot"))</f>
        <v>Cold</v>
      </c>
      <c r="W936" s="1" t="str">
        <f>IF(L936&lt;0.4,"Low",
IF(L936&lt;0.7,"Medium","High"))</f>
        <v>Medium</v>
      </c>
      <c r="X936" s="1" t="str">
        <f>IF(M936&lt;0.2,"Low",
IF(M936&lt;0.4,"Medium","High"))</f>
        <v>Low</v>
      </c>
      <c r="Y936" s="1" t="str">
        <f>IF(P936&lt;100,"Low",
IF(P936&lt;300,"Medium","High"))</f>
        <v>Low</v>
      </c>
    </row>
    <row r="937" spans="1:25" x14ac:dyDescent="0.3">
      <c r="A937">
        <v>945</v>
      </c>
      <c r="B937" s="2">
        <v>40585</v>
      </c>
      <c r="C937">
        <v>1</v>
      </c>
      <c r="D937">
        <v>0</v>
      </c>
      <c r="E937">
        <v>2</v>
      </c>
      <c r="F937">
        <v>23</v>
      </c>
      <c r="G937" t="b">
        <v>0</v>
      </c>
      <c r="H937">
        <v>5</v>
      </c>
      <c r="I937">
        <v>1</v>
      </c>
      <c r="J937">
        <v>0.18</v>
      </c>
      <c r="K937">
        <v>0.2424</v>
      </c>
      <c r="L937">
        <v>0.69</v>
      </c>
      <c r="M937">
        <v>0</v>
      </c>
      <c r="N937">
        <v>5</v>
      </c>
      <c r="O937">
        <v>48</v>
      </c>
      <c r="P937">
        <v>53</v>
      </c>
      <c r="Q937" t="str">
        <f>VLOOKUP(MasterData[[#This Row],[season]],[1]Lookup!$A$2:$B$5,2,FALSE)</f>
        <v>Spring</v>
      </c>
      <c r="R937" t="str">
        <f>TEXT(DATE(2026,E937,1),"mmmm")</f>
        <v>February</v>
      </c>
      <c r="S937" t="str">
        <f>IF(OR(H937=0,H937=6),"Weekend","Weekday")</f>
        <v>Weekday</v>
      </c>
      <c r="T937" s="1" t="str">
        <f>VLOOKUP(I937,[1]Lookup!$D$2:$E$5,2,FALSE)</f>
        <v>Clear</v>
      </c>
      <c r="U937" s="1" t="str">
        <f>IF(F937&lt;6,"Night",
IF(F937&lt;12,"Morning",
IF(F937&lt;17,"Afternoon",
IF(F937&lt;21,"Evening","Night"))))</f>
        <v>Night</v>
      </c>
      <c r="V937" s="1" t="str">
        <f>IF(J937&lt;0.3,"Cold",
IF(J937&lt;0.6,"Pleasant","Hot"))</f>
        <v>Cold</v>
      </c>
      <c r="W937" s="1" t="str">
        <f>IF(L937&lt;0.4,"Low",
IF(L937&lt;0.7,"Medium","High"))</f>
        <v>Medium</v>
      </c>
      <c r="X937" s="1" t="str">
        <f>IF(M937&lt;0.2,"Low",
IF(M937&lt;0.4,"Medium","High"))</f>
        <v>Low</v>
      </c>
      <c r="Y937" s="1" t="str">
        <f>IF(P937&lt;100,"Low",
IF(P937&lt;300,"Medium","High"))</f>
        <v>Low</v>
      </c>
    </row>
    <row r="938" spans="1:25" x14ac:dyDescent="0.3">
      <c r="A938">
        <v>946</v>
      </c>
      <c r="B938" s="2">
        <v>40586</v>
      </c>
      <c r="C938">
        <v>1</v>
      </c>
      <c r="D938">
        <v>0</v>
      </c>
      <c r="E938">
        <v>2</v>
      </c>
      <c r="F938">
        <v>0</v>
      </c>
      <c r="G938" t="b">
        <v>0</v>
      </c>
      <c r="H938">
        <v>6</v>
      </c>
      <c r="I938">
        <v>1</v>
      </c>
      <c r="J938">
        <v>0.16</v>
      </c>
      <c r="K938">
        <v>0.19700000000000001</v>
      </c>
      <c r="L938">
        <v>0.69</v>
      </c>
      <c r="M938">
        <v>8.9599999999999999E-2</v>
      </c>
      <c r="N938">
        <v>3</v>
      </c>
      <c r="O938">
        <v>27</v>
      </c>
      <c r="P938">
        <v>30</v>
      </c>
      <c r="Q938" t="str">
        <f>VLOOKUP(MasterData[[#This Row],[season]],[1]Lookup!$A$2:$B$5,2,FALSE)</f>
        <v>Spring</v>
      </c>
      <c r="R938" t="str">
        <f>TEXT(DATE(2026,E938,1),"mmmm")</f>
        <v>February</v>
      </c>
      <c r="S938" t="str">
        <f>IF(OR(H938=0,H938=6),"Weekend","Weekday")</f>
        <v>Weekend</v>
      </c>
      <c r="T938" s="1" t="str">
        <f>VLOOKUP(I938,[1]Lookup!$D$2:$E$5,2,FALSE)</f>
        <v>Clear</v>
      </c>
      <c r="U938" s="1" t="str">
        <f>IF(F938&lt;6,"Night",
IF(F938&lt;12,"Morning",
IF(F938&lt;17,"Afternoon",
IF(F938&lt;21,"Evening","Night"))))</f>
        <v>Night</v>
      </c>
      <c r="V938" s="1" t="str">
        <f>IF(J938&lt;0.3,"Cold",
IF(J938&lt;0.6,"Pleasant","Hot"))</f>
        <v>Cold</v>
      </c>
      <c r="W938" s="1" t="str">
        <f>IF(L938&lt;0.4,"Low",
IF(L938&lt;0.7,"Medium","High"))</f>
        <v>Medium</v>
      </c>
      <c r="X938" s="1" t="str">
        <f>IF(M938&lt;0.2,"Low",
IF(M938&lt;0.4,"Medium","High"))</f>
        <v>Low</v>
      </c>
      <c r="Y938" s="1" t="str">
        <f>IF(P938&lt;100,"Low",
IF(P938&lt;300,"Medium","High"))</f>
        <v>Low</v>
      </c>
    </row>
    <row r="939" spans="1:25" x14ac:dyDescent="0.3">
      <c r="A939">
        <v>947</v>
      </c>
      <c r="B939" s="2">
        <v>40586</v>
      </c>
      <c r="C939">
        <v>1</v>
      </c>
      <c r="D939">
        <v>0</v>
      </c>
      <c r="E939">
        <v>2</v>
      </c>
      <c r="F939">
        <v>1</v>
      </c>
      <c r="G939" t="b">
        <v>0</v>
      </c>
      <c r="H939">
        <v>6</v>
      </c>
      <c r="I939">
        <v>1</v>
      </c>
      <c r="J939">
        <v>0.14000000000000001</v>
      </c>
      <c r="K939">
        <v>0.21210000000000001</v>
      </c>
      <c r="L939">
        <v>0.86</v>
      </c>
      <c r="M939">
        <v>0</v>
      </c>
      <c r="N939">
        <v>2</v>
      </c>
      <c r="O939">
        <v>22</v>
      </c>
      <c r="P939">
        <v>24</v>
      </c>
      <c r="Q939" t="str">
        <f>VLOOKUP(MasterData[[#This Row],[season]],[1]Lookup!$A$2:$B$5,2,FALSE)</f>
        <v>Spring</v>
      </c>
      <c r="R939" t="str">
        <f>TEXT(DATE(2026,E939,1),"mmmm")</f>
        <v>February</v>
      </c>
      <c r="S939" t="str">
        <f>IF(OR(H939=0,H939=6),"Weekend","Weekday")</f>
        <v>Weekend</v>
      </c>
      <c r="T939" s="1" t="str">
        <f>VLOOKUP(I939,[1]Lookup!$D$2:$E$5,2,FALSE)</f>
        <v>Clear</v>
      </c>
      <c r="U939" s="1" t="str">
        <f>IF(F939&lt;6,"Night",
IF(F939&lt;12,"Morning",
IF(F939&lt;17,"Afternoon",
IF(F939&lt;21,"Evening","Night"))))</f>
        <v>Night</v>
      </c>
      <c r="V939" s="1" t="str">
        <f>IF(J939&lt;0.3,"Cold",
IF(J939&lt;0.6,"Pleasant","Hot"))</f>
        <v>Cold</v>
      </c>
      <c r="W939" s="1" t="str">
        <f>IF(L939&lt;0.4,"Low",
IF(L939&lt;0.7,"Medium","High"))</f>
        <v>High</v>
      </c>
      <c r="X939" s="1" t="str">
        <f>IF(M939&lt;0.2,"Low",
IF(M939&lt;0.4,"Medium","High"))</f>
        <v>Low</v>
      </c>
      <c r="Y939" s="1" t="str">
        <f>IF(P939&lt;100,"Low",
IF(P939&lt;300,"Medium","High"))</f>
        <v>Low</v>
      </c>
    </row>
    <row r="940" spans="1:25" x14ac:dyDescent="0.3">
      <c r="A940">
        <v>948</v>
      </c>
      <c r="B940" s="2">
        <v>40586</v>
      </c>
      <c r="C940">
        <v>1</v>
      </c>
      <c r="D940">
        <v>0</v>
      </c>
      <c r="E940">
        <v>2</v>
      </c>
      <c r="F940">
        <v>2</v>
      </c>
      <c r="G940" t="b">
        <v>0</v>
      </c>
      <c r="H940">
        <v>6</v>
      </c>
      <c r="I940">
        <v>1</v>
      </c>
      <c r="J940">
        <v>0.14000000000000001</v>
      </c>
      <c r="K940">
        <v>0.21210000000000001</v>
      </c>
      <c r="L940">
        <v>0.8</v>
      </c>
      <c r="M940">
        <v>0</v>
      </c>
      <c r="N940">
        <v>2</v>
      </c>
      <c r="O940">
        <v>13</v>
      </c>
      <c r="P940">
        <v>15</v>
      </c>
      <c r="Q940" t="str">
        <f>VLOOKUP(MasterData[[#This Row],[season]],[1]Lookup!$A$2:$B$5,2,FALSE)</f>
        <v>Spring</v>
      </c>
      <c r="R940" t="str">
        <f>TEXT(DATE(2026,E940,1),"mmmm")</f>
        <v>February</v>
      </c>
      <c r="S940" t="str">
        <f>IF(OR(H940=0,H940=6),"Weekend","Weekday")</f>
        <v>Weekend</v>
      </c>
      <c r="T940" s="1" t="str">
        <f>VLOOKUP(I940,[1]Lookup!$D$2:$E$5,2,FALSE)</f>
        <v>Clear</v>
      </c>
      <c r="U940" s="1" t="str">
        <f>IF(F940&lt;6,"Night",
IF(F940&lt;12,"Morning",
IF(F940&lt;17,"Afternoon",
IF(F940&lt;21,"Evening","Night"))))</f>
        <v>Night</v>
      </c>
      <c r="V940" s="1" t="str">
        <f>IF(J940&lt;0.3,"Cold",
IF(J940&lt;0.6,"Pleasant","Hot"))</f>
        <v>Cold</v>
      </c>
      <c r="W940" s="1" t="str">
        <f>IF(L940&lt;0.4,"Low",
IF(L940&lt;0.7,"Medium","High"))</f>
        <v>High</v>
      </c>
      <c r="X940" s="1" t="str">
        <f>IF(M940&lt;0.2,"Low",
IF(M940&lt;0.4,"Medium","High"))</f>
        <v>Low</v>
      </c>
      <c r="Y940" s="1" t="str">
        <f>IF(P940&lt;100,"Low",
IF(P940&lt;300,"Medium","High"))</f>
        <v>Low</v>
      </c>
    </row>
    <row r="941" spans="1:25" x14ac:dyDescent="0.3">
      <c r="A941">
        <v>949</v>
      </c>
      <c r="B941" s="2">
        <v>40586</v>
      </c>
      <c r="C941">
        <v>1</v>
      </c>
      <c r="D941">
        <v>0</v>
      </c>
      <c r="E941">
        <v>2</v>
      </c>
      <c r="F941">
        <v>3</v>
      </c>
      <c r="G941" t="b">
        <v>0</v>
      </c>
      <c r="H941">
        <v>6</v>
      </c>
      <c r="I941">
        <v>1</v>
      </c>
      <c r="J941">
        <v>0.12</v>
      </c>
      <c r="K941">
        <v>0.19700000000000001</v>
      </c>
      <c r="L941">
        <v>0.8</v>
      </c>
      <c r="M941">
        <v>0</v>
      </c>
      <c r="N941">
        <v>3</v>
      </c>
      <c r="O941">
        <v>7</v>
      </c>
      <c r="P941">
        <v>10</v>
      </c>
      <c r="Q941" t="str">
        <f>VLOOKUP(MasterData[[#This Row],[season]],[1]Lookup!$A$2:$B$5,2,FALSE)</f>
        <v>Spring</v>
      </c>
      <c r="R941" t="str">
        <f>TEXT(DATE(2026,E941,1),"mmmm")</f>
        <v>February</v>
      </c>
      <c r="S941" t="str">
        <f>IF(OR(H941=0,H941=6),"Weekend","Weekday")</f>
        <v>Weekend</v>
      </c>
      <c r="T941" s="1" t="str">
        <f>VLOOKUP(I941,[1]Lookup!$D$2:$E$5,2,FALSE)</f>
        <v>Clear</v>
      </c>
      <c r="U941" s="1" t="str">
        <f>IF(F941&lt;6,"Night",
IF(F941&lt;12,"Morning",
IF(F941&lt;17,"Afternoon",
IF(F941&lt;21,"Evening","Night"))))</f>
        <v>Night</v>
      </c>
      <c r="V941" s="1" t="str">
        <f>IF(J941&lt;0.3,"Cold",
IF(J941&lt;0.6,"Pleasant","Hot"))</f>
        <v>Cold</v>
      </c>
      <c r="W941" s="1" t="str">
        <f>IF(L941&lt;0.4,"Low",
IF(L941&lt;0.7,"Medium","High"))</f>
        <v>High</v>
      </c>
      <c r="X941" s="1" t="str">
        <f>IF(M941&lt;0.2,"Low",
IF(M941&lt;0.4,"Medium","High"))</f>
        <v>Low</v>
      </c>
      <c r="Y941" s="1" t="str">
        <f>IF(P941&lt;100,"Low",
IF(P941&lt;300,"Medium","High"))</f>
        <v>Low</v>
      </c>
    </row>
    <row r="942" spans="1:25" x14ac:dyDescent="0.3">
      <c r="A942">
        <v>950</v>
      </c>
      <c r="B942" s="2">
        <v>40586</v>
      </c>
      <c r="C942">
        <v>1</v>
      </c>
      <c r="D942">
        <v>0</v>
      </c>
      <c r="E942">
        <v>2</v>
      </c>
      <c r="F942">
        <v>4</v>
      </c>
      <c r="G942" t="b">
        <v>0</v>
      </c>
      <c r="H942">
        <v>6</v>
      </c>
      <c r="I942">
        <v>1</v>
      </c>
      <c r="J942">
        <v>0.12</v>
      </c>
      <c r="K942">
        <v>0.16669999999999999</v>
      </c>
      <c r="L942">
        <v>0.74</v>
      </c>
      <c r="M942">
        <v>8.9599999999999999E-2</v>
      </c>
      <c r="N942">
        <v>0</v>
      </c>
      <c r="O942">
        <v>4</v>
      </c>
      <c r="P942">
        <v>4</v>
      </c>
      <c r="Q942" t="str">
        <f>VLOOKUP(MasterData[[#This Row],[season]],[1]Lookup!$A$2:$B$5,2,FALSE)</f>
        <v>Spring</v>
      </c>
      <c r="R942" t="str">
        <f>TEXT(DATE(2026,E942,1),"mmmm")</f>
        <v>February</v>
      </c>
      <c r="S942" t="str">
        <f>IF(OR(H942=0,H942=6),"Weekend","Weekday")</f>
        <v>Weekend</v>
      </c>
      <c r="T942" s="1" t="str">
        <f>VLOOKUP(I942,[1]Lookup!$D$2:$E$5,2,FALSE)</f>
        <v>Clear</v>
      </c>
      <c r="U942" s="1" t="str">
        <f>IF(F942&lt;6,"Night",
IF(F942&lt;12,"Morning",
IF(F942&lt;17,"Afternoon",
IF(F942&lt;21,"Evening","Night"))))</f>
        <v>Night</v>
      </c>
      <c r="V942" s="1" t="str">
        <f>IF(J942&lt;0.3,"Cold",
IF(J942&lt;0.6,"Pleasant","Hot"))</f>
        <v>Cold</v>
      </c>
      <c r="W942" s="1" t="str">
        <f>IF(L942&lt;0.4,"Low",
IF(L942&lt;0.7,"Medium","High"))</f>
        <v>High</v>
      </c>
      <c r="X942" s="1" t="str">
        <f>IF(M942&lt;0.2,"Low",
IF(M942&lt;0.4,"Medium","High"))</f>
        <v>Low</v>
      </c>
      <c r="Y942" s="1" t="str">
        <f>IF(P942&lt;100,"Low",
IF(P942&lt;300,"Medium","High"))</f>
        <v>Low</v>
      </c>
    </row>
    <row r="943" spans="1:25" x14ac:dyDescent="0.3">
      <c r="A943">
        <v>951</v>
      </c>
      <c r="B943" s="2">
        <v>40586</v>
      </c>
      <c r="C943">
        <v>1</v>
      </c>
      <c r="D943">
        <v>0</v>
      </c>
      <c r="E943">
        <v>2</v>
      </c>
      <c r="F943">
        <v>5</v>
      </c>
      <c r="G943" t="b">
        <v>0</v>
      </c>
      <c r="H943">
        <v>6</v>
      </c>
      <c r="I943">
        <v>1</v>
      </c>
      <c r="J943">
        <v>0.12</v>
      </c>
      <c r="K943">
        <v>0.16669999999999999</v>
      </c>
      <c r="L943">
        <v>0.74</v>
      </c>
      <c r="M943">
        <v>8.9599999999999999E-2</v>
      </c>
      <c r="N943">
        <v>0</v>
      </c>
      <c r="O943">
        <v>1</v>
      </c>
      <c r="P943">
        <v>1</v>
      </c>
      <c r="Q943" t="str">
        <f>VLOOKUP(MasterData[[#This Row],[season]],[1]Lookup!$A$2:$B$5,2,FALSE)</f>
        <v>Spring</v>
      </c>
      <c r="R943" t="str">
        <f>TEXT(DATE(2026,E943,1),"mmmm")</f>
        <v>February</v>
      </c>
      <c r="S943" t="str">
        <f>IF(OR(H943=0,H943=6),"Weekend","Weekday")</f>
        <v>Weekend</v>
      </c>
      <c r="T943" s="1" t="str">
        <f>VLOOKUP(I943,[1]Lookup!$D$2:$E$5,2,FALSE)</f>
        <v>Clear</v>
      </c>
      <c r="U943" s="1" t="str">
        <f>IF(F943&lt;6,"Night",
IF(F943&lt;12,"Morning",
IF(F943&lt;17,"Afternoon",
IF(F943&lt;21,"Evening","Night"))))</f>
        <v>Night</v>
      </c>
      <c r="V943" s="1" t="str">
        <f>IF(J943&lt;0.3,"Cold",
IF(J943&lt;0.6,"Pleasant","Hot"))</f>
        <v>Cold</v>
      </c>
      <c r="W943" s="1" t="str">
        <f>IF(L943&lt;0.4,"Low",
IF(L943&lt;0.7,"Medium","High"))</f>
        <v>High</v>
      </c>
      <c r="X943" s="1" t="str">
        <f>IF(M943&lt;0.2,"Low",
IF(M943&lt;0.4,"Medium","High"))</f>
        <v>Low</v>
      </c>
      <c r="Y943" s="1" t="str">
        <f>IF(P943&lt;100,"Low",
IF(P943&lt;300,"Medium","High"))</f>
        <v>Low</v>
      </c>
    </row>
    <row r="944" spans="1:25" x14ac:dyDescent="0.3">
      <c r="A944">
        <v>952</v>
      </c>
      <c r="B944" s="2">
        <v>40586</v>
      </c>
      <c r="C944">
        <v>1</v>
      </c>
      <c r="D944">
        <v>0</v>
      </c>
      <c r="E944">
        <v>2</v>
      </c>
      <c r="F944">
        <v>6</v>
      </c>
      <c r="G944" t="b">
        <v>0</v>
      </c>
      <c r="H944">
        <v>6</v>
      </c>
      <c r="I944">
        <v>1</v>
      </c>
      <c r="J944">
        <v>0.12</v>
      </c>
      <c r="K944">
        <v>0.13639999999999999</v>
      </c>
      <c r="L944">
        <v>0.93</v>
      </c>
      <c r="M944">
        <v>0.19400000000000001</v>
      </c>
      <c r="N944">
        <v>1</v>
      </c>
      <c r="O944">
        <v>1</v>
      </c>
      <c r="P944">
        <v>2</v>
      </c>
      <c r="Q944" t="str">
        <f>VLOOKUP(MasterData[[#This Row],[season]],[1]Lookup!$A$2:$B$5,2,FALSE)</f>
        <v>Spring</v>
      </c>
      <c r="R944" t="str">
        <f>TEXT(DATE(2026,E944,1),"mmmm")</f>
        <v>February</v>
      </c>
      <c r="S944" t="str">
        <f>IF(OR(H944=0,H944=6),"Weekend","Weekday")</f>
        <v>Weekend</v>
      </c>
      <c r="T944" s="1" t="str">
        <f>VLOOKUP(I944,[1]Lookup!$D$2:$E$5,2,FALSE)</f>
        <v>Clear</v>
      </c>
      <c r="U944" s="1" t="str">
        <f>IF(F944&lt;6,"Night",
IF(F944&lt;12,"Morning",
IF(F944&lt;17,"Afternoon",
IF(F944&lt;21,"Evening","Night"))))</f>
        <v>Morning</v>
      </c>
      <c r="V944" s="1" t="str">
        <f>IF(J944&lt;0.3,"Cold",
IF(J944&lt;0.6,"Pleasant","Hot"))</f>
        <v>Cold</v>
      </c>
      <c r="W944" s="1" t="str">
        <f>IF(L944&lt;0.4,"Low",
IF(L944&lt;0.7,"Medium","High"))</f>
        <v>High</v>
      </c>
      <c r="X944" s="1" t="str">
        <f>IF(M944&lt;0.2,"Low",
IF(M944&lt;0.4,"Medium","High"))</f>
        <v>Low</v>
      </c>
      <c r="Y944" s="1" t="str">
        <f>IF(P944&lt;100,"Low",
IF(P944&lt;300,"Medium","High"))</f>
        <v>Low</v>
      </c>
    </row>
    <row r="945" spans="1:25" x14ac:dyDescent="0.3">
      <c r="A945">
        <v>953</v>
      </c>
      <c r="B945" s="2">
        <v>40586</v>
      </c>
      <c r="C945">
        <v>1</v>
      </c>
      <c r="D945">
        <v>0</v>
      </c>
      <c r="E945">
        <v>2</v>
      </c>
      <c r="F945">
        <v>7</v>
      </c>
      <c r="G945" t="b">
        <v>0</v>
      </c>
      <c r="H945">
        <v>6</v>
      </c>
      <c r="I945">
        <v>1</v>
      </c>
      <c r="J945">
        <v>0.12</v>
      </c>
      <c r="K945">
        <v>0.1515</v>
      </c>
      <c r="L945">
        <v>0.8</v>
      </c>
      <c r="M945">
        <v>0.1045</v>
      </c>
      <c r="N945">
        <v>2</v>
      </c>
      <c r="O945">
        <v>9</v>
      </c>
      <c r="P945">
        <v>11</v>
      </c>
      <c r="Q945" t="str">
        <f>VLOOKUP(MasterData[[#This Row],[season]],[1]Lookup!$A$2:$B$5,2,FALSE)</f>
        <v>Spring</v>
      </c>
      <c r="R945" t="str">
        <f>TEXT(DATE(2026,E945,1),"mmmm")</f>
        <v>February</v>
      </c>
      <c r="S945" t="str">
        <f>IF(OR(H945=0,H945=6),"Weekend","Weekday")</f>
        <v>Weekend</v>
      </c>
      <c r="T945" s="1" t="str">
        <f>VLOOKUP(I945,[1]Lookup!$D$2:$E$5,2,FALSE)</f>
        <v>Clear</v>
      </c>
      <c r="U945" s="1" t="str">
        <f>IF(F945&lt;6,"Night",
IF(F945&lt;12,"Morning",
IF(F945&lt;17,"Afternoon",
IF(F945&lt;21,"Evening","Night"))))</f>
        <v>Morning</v>
      </c>
      <c r="V945" s="1" t="str">
        <f>IF(J945&lt;0.3,"Cold",
IF(J945&lt;0.6,"Pleasant","Hot"))</f>
        <v>Cold</v>
      </c>
      <c r="W945" s="1" t="str">
        <f>IF(L945&lt;0.4,"Low",
IF(L945&lt;0.7,"Medium","High"))</f>
        <v>High</v>
      </c>
      <c r="X945" s="1" t="str">
        <f>IF(M945&lt;0.2,"Low",
IF(M945&lt;0.4,"Medium","High"))</f>
        <v>Low</v>
      </c>
      <c r="Y945" s="1" t="str">
        <f>IF(P945&lt;100,"Low",
IF(P945&lt;300,"Medium","High"))</f>
        <v>Low</v>
      </c>
    </row>
    <row r="946" spans="1:25" x14ac:dyDescent="0.3">
      <c r="A946">
        <v>954</v>
      </c>
      <c r="B946" s="2">
        <v>40586</v>
      </c>
      <c r="C946">
        <v>1</v>
      </c>
      <c r="D946">
        <v>0</v>
      </c>
      <c r="E946">
        <v>2</v>
      </c>
      <c r="F946">
        <v>8</v>
      </c>
      <c r="G946" t="b">
        <v>0</v>
      </c>
      <c r="H946">
        <v>6</v>
      </c>
      <c r="I946">
        <v>1</v>
      </c>
      <c r="J946">
        <v>0.14000000000000001</v>
      </c>
      <c r="K946">
        <v>0.1515</v>
      </c>
      <c r="L946">
        <v>0.86</v>
      </c>
      <c r="M946">
        <v>0.1343</v>
      </c>
      <c r="N946">
        <v>2</v>
      </c>
      <c r="O946">
        <v>28</v>
      </c>
      <c r="P946">
        <v>30</v>
      </c>
      <c r="Q946" t="str">
        <f>VLOOKUP(MasterData[[#This Row],[season]],[1]Lookup!$A$2:$B$5,2,FALSE)</f>
        <v>Spring</v>
      </c>
      <c r="R946" t="str">
        <f>TEXT(DATE(2026,E946,1),"mmmm")</f>
        <v>February</v>
      </c>
      <c r="S946" t="str">
        <f>IF(OR(H946=0,H946=6),"Weekend","Weekday")</f>
        <v>Weekend</v>
      </c>
      <c r="T946" s="1" t="str">
        <f>VLOOKUP(I946,[1]Lookup!$D$2:$E$5,2,FALSE)</f>
        <v>Clear</v>
      </c>
      <c r="U946" s="1" t="str">
        <f>IF(F946&lt;6,"Night",
IF(F946&lt;12,"Morning",
IF(F946&lt;17,"Afternoon",
IF(F946&lt;21,"Evening","Night"))))</f>
        <v>Morning</v>
      </c>
      <c r="V946" s="1" t="str">
        <f>IF(J946&lt;0.3,"Cold",
IF(J946&lt;0.6,"Pleasant","Hot"))</f>
        <v>Cold</v>
      </c>
      <c r="W946" s="1" t="str">
        <f>IF(L946&lt;0.4,"Low",
IF(L946&lt;0.7,"Medium","High"))</f>
        <v>High</v>
      </c>
      <c r="X946" s="1" t="str">
        <f>IF(M946&lt;0.2,"Low",
IF(M946&lt;0.4,"Medium","High"))</f>
        <v>Low</v>
      </c>
      <c r="Y946" s="1" t="str">
        <f>IF(P946&lt;100,"Low",
IF(P946&lt;300,"Medium","High"))</f>
        <v>Low</v>
      </c>
    </row>
    <row r="947" spans="1:25" x14ac:dyDescent="0.3">
      <c r="A947">
        <v>955</v>
      </c>
      <c r="B947" s="2">
        <v>40586</v>
      </c>
      <c r="C947">
        <v>1</v>
      </c>
      <c r="D947">
        <v>0</v>
      </c>
      <c r="E947">
        <v>2</v>
      </c>
      <c r="F947">
        <v>9</v>
      </c>
      <c r="G947" t="b">
        <v>0</v>
      </c>
      <c r="H947">
        <v>6</v>
      </c>
      <c r="I947">
        <v>1</v>
      </c>
      <c r="J947">
        <v>0.16</v>
      </c>
      <c r="K947">
        <v>0.18179999999999999</v>
      </c>
      <c r="L947">
        <v>0.64</v>
      </c>
      <c r="M947">
        <v>0.1343</v>
      </c>
      <c r="N947">
        <v>5</v>
      </c>
      <c r="O947">
        <v>38</v>
      </c>
      <c r="P947">
        <v>43</v>
      </c>
      <c r="Q947" t="str">
        <f>VLOOKUP(MasterData[[#This Row],[season]],[1]Lookup!$A$2:$B$5,2,FALSE)</f>
        <v>Spring</v>
      </c>
      <c r="R947" t="str">
        <f>TEXT(DATE(2026,E947,1),"mmmm")</f>
        <v>February</v>
      </c>
      <c r="S947" t="str">
        <f>IF(OR(H947=0,H947=6),"Weekend","Weekday")</f>
        <v>Weekend</v>
      </c>
      <c r="T947" s="1" t="str">
        <f>VLOOKUP(I947,[1]Lookup!$D$2:$E$5,2,FALSE)</f>
        <v>Clear</v>
      </c>
      <c r="U947" s="1" t="str">
        <f>IF(F947&lt;6,"Night",
IF(F947&lt;12,"Morning",
IF(F947&lt;17,"Afternoon",
IF(F947&lt;21,"Evening","Night"))))</f>
        <v>Morning</v>
      </c>
      <c r="V947" s="1" t="str">
        <f>IF(J947&lt;0.3,"Cold",
IF(J947&lt;0.6,"Pleasant","Hot"))</f>
        <v>Cold</v>
      </c>
      <c r="W947" s="1" t="str">
        <f>IF(L947&lt;0.4,"Low",
IF(L947&lt;0.7,"Medium","High"))</f>
        <v>Medium</v>
      </c>
      <c r="X947" s="1" t="str">
        <f>IF(M947&lt;0.2,"Low",
IF(M947&lt;0.4,"Medium","High"))</f>
        <v>Low</v>
      </c>
      <c r="Y947" s="1" t="str">
        <f>IF(P947&lt;100,"Low",
IF(P947&lt;300,"Medium","High"))</f>
        <v>Low</v>
      </c>
    </row>
    <row r="948" spans="1:25" x14ac:dyDescent="0.3">
      <c r="A948">
        <v>956</v>
      </c>
      <c r="B948" s="2">
        <v>40586</v>
      </c>
      <c r="C948">
        <v>1</v>
      </c>
      <c r="D948">
        <v>0</v>
      </c>
      <c r="E948">
        <v>2</v>
      </c>
      <c r="F948">
        <v>10</v>
      </c>
      <c r="G948" t="b">
        <v>0</v>
      </c>
      <c r="H948">
        <v>6</v>
      </c>
      <c r="I948">
        <v>1</v>
      </c>
      <c r="J948">
        <v>0.22</v>
      </c>
      <c r="K948">
        <v>0.21210000000000001</v>
      </c>
      <c r="L948">
        <v>0.41</v>
      </c>
      <c r="M948">
        <v>0.25369999999999998</v>
      </c>
      <c r="N948">
        <v>13</v>
      </c>
      <c r="O948">
        <v>71</v>
      </c>
      <c r="P948">
        <v>84</v>
      </c>
      <c r="Q948" t="str">
        <f>VLOOKUP(MasterData[[#This Row],[season]],[1]Lookup!$A$2:$B$5,2,FALSE)</f>
        <v>Spring</v>
      </c>
      <c r="R948" t="str">
        <f>TEXT(DATE(2026,E948,1),"mmmm")</f>
        <v>February</v>
      </c>
      <c r="S948" t="str">
        <f>IF(OR(H948=0,H948=6),"Weekend","Weekday")</f>
        <v>Weekend</v>
      </c>
      <c r="T948" s="1" t="str">
        <f>VLOOKUP(I948,[1]Lookup!$D$2:$E$5,2,FALSE)</f>
        <v>Clear</v>
      </c>
      <c r="U948" s="1" t="str">
        <f>IF(F948&lt;6,"Night",
IF(F948&lt;12,"Morning",
IF(F948&lt;17,"Afternoon",
IF(F948&lt;21,"Evening","Night"))))</f>
        <v>Morning</v>
      </c>
      <c r="V948" s="1" t="str">
        <f>IF(J948&lt;0.3,"Cold",
IF(J948&lt;0.6,"Pleasant","Hot"))</f>
        <v>Cold</v>
      </c>
      <c r="W948" s="1" t="str">
        <f>IF(L948&lt;0.4,"Low",
IF(L948&lt;0.7,"Medium","High"))</f>
        <v>Medium</v>
      </c>
      <c r="X948" s="1" t="str">
        <f>IF(M948&lt;0.2,"Low",
IF(M948&lt;0.4,"Medium","High"))</f>
        <v>Medium</v>
      </c>
      <c r="Y948" s="1" t="str">
        <f>IF(P948&lt;100,"Low",
IF(P948&lt;300,"Medium","High"))</f>
        <v>Low</v>
      </c>
    </row>
    <row r="949" spans="1:25" x14ac:dyDescent="0.3">
      <c r="A949">
        <v>957</v>
      </c>
      <c r="B949" s="2">
        <v>40586</v>
      </c>
      <c r="C949">
        <v>1</v>
      </c>
      <c r="D949">
        <v>0</v>
      </c>
      <c r="E949">
        <v>2</v>
      </c>
      <c r="F949">
        <v>11</v>
      </c>
      <c r="G949" t="b">
        <v>0</v>
      </c>
      <c r="H949">
        <v>6</v>
      </c>
      <c r="I949">
        <v>1</v>
      </c>
      <c r="J949">
        <v>0.3</v>
      </c>
      <c r="K949">
        <v>0.2727</v>
      </c>
      <c r="L949">
        <v>0.28000000000000003</v>
      </c>
      <c r="M949">
        <v>0.32840000000000003</v>
      </c>
      <c r="N949">
        <v>30</v>
      </c>
      <c r="O949">
        <v>84</v>
      </c>
      <c r="P949">
        <v>114</v>
      </c>
      <c r="Q949" t="str">
        <f>VLOOKUP(MasterData[[#This Row],[season]],[1]Lookup!$A$2:$B$5,2,FALSE)</f>
        <v>Spring</v>
      </c>
      <c r="R949" t="str">
        <f>TEXT(DATE(2026,E949,1),"mmmm")</f>
        <v>February</v>
      </c>
      <c r="S949" t="str">
        <f>IF(OR(H949=0,H949=6),"Weekend","Weekday")</f>
        <v>Weekend</v>
      </c>
      <c r="T949" s="1" t="str">
        <f>VLOOKUP(I949,[1]Lookup!$D$2:$E$5,2,FALSE)</f>
        <v>Clear</v>
      </c>
      <c r="U949" s="1" t="str">
        <f>IF(F949&lt;6,"Night",
IF(F949&lt;12,"Morning",
IF(F949&lt;17,"Afternoon",
IF(F949&lt;21,"Evening","Night"))))</f>
        <v>Morning</v>
      </c>
      <c r="V949" s="1" t="str">
        <f>IF(J949&lt;0.3,"Cold",
IF(J949&lt;0.6,"Pleasant","Hot"))</f>
        <v>Pleasant</v>
      </c>
      <c r="W949" s="1" t="str">
        <f>IF(L949&lt;0.4,"Low",
IF(L949&lt;0.7,"Medium","High"))</f>
        <v>Low</v>
      </c>
      <c r="X949" s="1" t="str">
        <f>IF(M949&lt;0.2,"Low",
IF(M949&lt;0.4,"Medium","High"))</f>
        <v>Medium</v>
      </c>
      <c r="Y949" s="1" t="str">
        <f>IF(P949&lt;100,"Low",
IF(P949&lt;300,"Medium","High"))</f>
        <v>Medium</v>
      </c>
    </row>
    <row r="950" spans="1:25" x14ac:dyDescent="0.3">
      <c r="A950">
        <v>958</v>
      </c>
      <c r="B950" s="2">
        <v>40586</v>
      </c>
      <c r="C950">
        <v>1</v>
      </c>
      <c r="D950">
        <v>0</v>
      </c>
      <c r="E950">
        <v>2</v>
      </c>
      <c r="F950">
        <v>12</v>
      </c>
      <c r="G950" t="b">
        <v>0</v>
      </c>
      <c r="H950">
        <v>6</v>
      </c>
      <c r="I950">
        <v>1</v>
      </c>
      <c r="J950">
        <v>0.3</v>
      </c>
      <c r="K950">
        <v>0.2727</v>
      </c>
      <c r="L950">
        <v>0.39</v>
      </c>
      <c r="M950">
        <v>0.4627</v>
      </c>
      <c r="N950">
        <v>27</v>
      </c>
      <c r="O950">
        <v>93</v>
      </c>
      <c r="P950">
        <v>120</v>
      </c>
      <c r="Q950" t="str">
        <f>VLOOKUP(MasterData[[#This Row],[season]],[1]Lookup!$A$2:$B$5,2,FALSE)</f>
        <v>Spring</v>
      </c>
      <c r="R950" t="str">
        <f>TEXT(DATE(2026,E950,1),"mmmm")</f>
        <v>February</v>
      </c>
      <c r="S950" t="str">
        <f>IF(OR(H950=0,H950=6),"Weekend","Weekday")</f>
        <v>Weekend</v>
      </c>
      <c r="T950" s="1" t="str">
        <f>VLOOKUP(I950,[1]Lookup!$D$2:$E$5,2,FALSE)</f>
        <v>Clear</v>
      </c>
      <c r="U950" s="1" t="str">
        <f>IF(F950&lt;6,"Night",
IF(F950&lt;12,"Morning",
IF(F950&lt;17,"Afternoon",
IF(F950&lt;21,"Evening","Night"))))</f>
        <v>Afternoon</v>
      </c>
      <c r="V950" s="1" t="str">
        <f>IF(J950&lt;0.3,"Cold",
IF(J950&lt;0.6,"Pleasant","Hot"))</f>
        <v>Pleasant</v>
      </c>
      <c r="W950" s="1" t="str">
        <f>IF(L950&lt;0.4,"Low",
IF(L950&lt;0.7,"Medium","High"))</f>
        <v>Low</v>
      </c>
      <c r="X950" s="1" t="str">
        <f>IF(M950&lt;0.2,"Low",
IF(M950&lt;0.4,"Medium","High"))</f>
        <v>High</v>
      </c>
      <c r="Y950" s="1" t="str">
        <f>IF(P950&lt;100,"Low",
IF(P950&lt;300,"Medium","High"))</f>
        <v>Medium</v>
      </c>
    </row>
    <row r="951" spans="1:25" x14ac:dyDescent="0.3">
      <c r="A951">
        <v>959</v>
      </c>
      <c r="B951" s="2">
        <v>40586</v>
      </c>
      <c r="C951">
        <v>1</v>
      </c>
      <c r="D951">
        <v>0</v>
      </c>
      <c r="E951">
        <v>2</v>
      </c>
      <c r="F951">
        <v>13</v>
      </c>
      <c r="G951" t="b">
        <v>0</v>
      </c>
      <c r="H951">
        <v>6</v>
      </c>
      <c r="I951">
        <v>1</v>
      </c>
      <c r="J951">
        <v>0.3</v>
      </c>
      <c r="K951">
        <v>0.2727</v>
      </c>
      <c r="L951">
        <v>0.39</v>
      </c>
      <c r="M951">
        <v>0.41789999999999999</v>
      </c>
      <c r="N951">
        <v>32</v>
      </c>
      <c r="O951">
        <v>103</v>
      </c>
      <c r="P951">
        <v>135</v>
      </c>
      <c r="Q951" t="str">
        <f>VLOOKUP(MasterData[[#This Row],[season]],[1]Lookup!$A$2:$B$5,2,FALSE)</f>
        <v>Spring</v>
      </c>
      <c r="R951" t="str">
        <f>TEXT(DATE(2026,E951,1),"mmmm")</f>
        <v>February</v>
      </c>
      <c r="S951" t="str">
        <f>IF(OR(H951=0,H951=6),"Weekend","Weekday")</f>
        <v>Weekend</v>
      </c>
      <c r="T951" s="1" t="str">
        <f>VLOOKUP(I951,[1]Lookup!$D$2:$E$5,2,FALSE)</f>
        <v>Clear</v>
      </c>
      <c r="U951" s="1" t="str">
        <f>IF(F951&lt;6,"Night",
IF(F951&lt;12,"Morning",
IF(F951&lt;17,"Afternoon",
IF(F951&lt;21,"Evening","Night"))))</f>
        <v>Afternoon</v>
      </c>
      <c r="V951" s="1" t="str">
        <f>IF(J951&lt;0.3,"Cold",
IF(J951&lt;0.6,"Pleasant","Hot"))</f>
        <v>Pleasant</v>
      </c>
      <c r="W951" s="1" t="str">
        <f>IF(L951&lt;0.4,"Low",
IF(L951&lt;0.7,"Medium","High"))</f>
        <v>Low</v>
      </c>
      <c r="X951" s="1" t="str">
        <f>IF(M951&lt;0.2,"Low",
IF(M951&lt;0.4,"Medium","High"))</f>
        <v>High</v>
      </c>
      <c r="Y951" s="1" t="str">
        <f>IF(P951&lt;100,"Low",
IF(P951&lt;300,"Medium","High"))</f>
        <v>Medium</v>
      </c>
    </row>
    <row r="952" spans="1:25" x14ac:dyDescent="0.3">
      <c r="A952">
        <v>960</v>
      </c>
      <c r="B952" s="2">
        <v>40586</v>
      </c>
      <c r="C952">
        <v>1</v>
      </c>
      <c r="D952">
        <v>0</v>
      </c>
      <c r="E952">
        <v>2</v>
      </c>
      <c r="F952">
        <v>14</v>
      </c>
      <c r="G952" t="b">
        <v>0</v>
      </c>
      <c r="H952">
        <v>6</v>
      </c>
      <c r="I952">
        <v>1</v>
      </c>
      <c r="J952">
        <v>0.34</v>
      </c>
      <c r="K952">
        <v>0.31819999999999998</v>
      </c>
      <c r="L952">
        <v>0.31</v>
      </c>
      <c r="M952">
        <v>0.28360000000000002</v>
      </c>
      <c r="N952">
        <v>30</v>
      </c>
      <c r="O952">
        <v>90</v>
      </c>
      <c r="P952">
        <v>120</v>
      </c>
      <c r="Q952" t="str">
        <f>VLOOKUP(MasterData[[#This Row],[season]],[1]Lookup!$A$2:$B$5,2,FALSE)</f>
        <v>Spring</v>
      </c>
      <c r="R952" t="str">
        <f>TEXT(DATE(2026,E952,1),"mmmm")</f>
        <v>February</v>
      </c>
      <c r="S952" t="str">
        <f>IF(OR(H952=0,H952=6),"Weekend","Weekday")</f>
        <v>Weekend</v>
      </c>
      <c r="T952" s="1" t="str">
        <f>VLOOKUP(I952,[1]Lookup!$D$2:$E$5,2,FALSE)</f>
        <v>Clear</v>
      </c>
      <c r="U952" s="1" t="str">
        <f>IF(F952&lt;6,"Night",
IF(F952&lt;12,"Morning",
IF(F952&lt;17,"Afternoon",
IF(F952&lt;21,"Evening","Night"))))</f>
        <v>Afternoon</v>
      </c>
      <c r="V952" s="1" t="str">
        <f>IF(J952&lt;0.3,"Cold",
IF(J952&lt;0.6,"Pleasant","Hot"))</f>
        <v>Pleasant</v>
      </c>
      <c r="W952" s="1" t="str">
        <f>IF(L952&lt;0.4,"Low",
IF(L952&lt;0.7,"Medium","High"))</f>
        <v>Low</v>
      </c>
      <c r="X952" s="1" t="str">
        <f>IF(M952&lt;0.2,"Low",
IF(M952&lt;0.4,"Medium","High"))</f>
        <v>Medium</v>
      </c>
      <c r="Y952" s="1" t="str">
        <f>IF(P952&lt;100,"Low",
IF(P952&lt;300,"Medium","High"))</f>
        <v>Medium</v>
      </c>
    </row>
    <row r="953" spans="1:25" x14ac:dyDescent="0.3">
      <c r="A953">
        <v>961</v>
      </c>
      <c r="B953" s="2">
        <v>40586</v>
      </c>
      <c r="C953">
        <v>1</v>
      </c>
      <c r="D953">
        <v>0</v>
      </c>
      <c r="E953">
        <v>2</v>
      </c>
      <c r="F953">
        <v>15</v>
      </c>
      <c r="G953" t="b">
        <v>0</v>
      </c>
      <c r="H953">
        <v>6</v>
      </c>
      <c r="I953">
        <v>1</v>
      </c>
      <c r="J953">
        <v>0.34</v>
      </c>
      <c r="K953">
        <v>0.30299999999999999</v>
      </c>
      <c r="L953">
        <v>0.28999999999999998</v>
      </c>
      <c r="M953">
        <v>0.41789999999999999</v>
      </c>
      <c r="N953">
        <v>47</v>
      </c>
      <c r="O953">
        <v>127</v>
      </c>
      <c r="P953">
        <v>174</v>
      </c>
      <c r="Q953" t="str">
        <f>VLOOKUP(MasterData[[#This Row],[season]],[1]Lookup!$A$2:$B$5,2,FALSE)</f>
        <v>Spring</v>
      </c>
      <c r="R953" t="str">
        <f>TEXT(DATE(2026,E953,1),"mmmm")</f>
        <v>February</v>
      </c>
      <c r="S953" t="str">
        <f>IF(OR(H953=0,H953=6),"Weekend","Weekday")</f>
        <v>Weekend</v>
      </c>
      <c r="T953" s="1" t="str">
        <f>VLOOKUP(I953,[1]Lookup!$D$2:$E$5,2,FALSE)</f>
        <v>Clear</v>
      </c>
      <c r="U953" s="1" t="str">
        <f>IF(F953&lt;6,"Night",
IF(F953&lt;12,"Morning",
IF(F953&lt;17,"Afternoon",
IF(F953&lt;21,"Evening","Night"))))</f>
        <v>Afternoon</v>
      </c>
      <c r="V953" s="1" t="str">
        <f>IF(J953&lt;0.3,"Cold",
IF(J953&lt;0.6,"Pleasant","Hot"))</f>
        <v>Pleasant</v>
      </c>
      <c r="W953" s="1" t="str">
        <f>IF(L953&lt;0.4,"Low",
IF(L953&lt;0.7,"Medium","High"))</f>
        <v>Low</v>
      </c>
      <c r="X953" s="1" t="str">
        <f>IF(M953&lt;0.2,"Low",
IF(M953&lt;0.4,"Medium","High"))</f>
        <v>High</v>
      </c>
      <c r="Y953" s="1" t="str">
        <f>IF(P953&lt;100,"Low",
IF(P953&lt;300,"Medium","High"))</f>
        <v>Medium</v>
      </c>
    </row>
    <row r="954" spans="1:25" x14ac:dyDescent="0.3">
      <c r="A954">
        <v>962</v>
      </c>
      <c r="B954" s="2">
        <v>40586</v>
      </c>
      <c r="C954">
        <v>1</v>
      </c>
      <c r="D954">
        <v>0</v>
      </c>
      <c r="E954">
        <v>2</v>
      </c>
      <c r="F954">
        <v>16</v>
      </c>
      <c r="G954" t="b">
        <v>0</v>
      </c>
      <c r="H954">
        <v>6</v>
      </c>
      <c r="I954">
        <v>1</v>
      </c>
      <c r="J954">
        <v>0.34</v>
      </c>
      <c r="K954">
        <v>0.30299999999999999</v>
      </c>
      <c r="L954">
        <v>0.28999999999999998</v>
      </c>
      <c r="M954">
        <v>0.41789999999999999</v>
      </c>
      <c r="N954">
        <v>42</v>
      </c>
      <c r="O954">
        <v>103</v>
      </c>
      <c r="P954">
        <v>145</v>
      </c>
      <c r="Q954" t="str">
        <f>VLOOKUP(MasterData[[#This Row],[season]],[1]Lookup!$A$2:$B$5,2,FALSE)</f>
        <v>Spring</v>
      </c>
      <c r="R954" t="str">
        <f>TEXT(DATE(2026,E954,1),"mmmm")</f>
        <v>February</v>
      </c>
      <c r="S954" t="str">
        <f>IF(OR(H954=0,H954=6),"Weekend","Weekday")</f>
        <v>Weekend</v>
      </c>
      <c r="T954" s="1" t="str">
        <f>VLOOKUP(I954,[1]Lookup!$D$2:$E$5,2,FALSE)</f>
        <v>Clear</v>
      </c>
      <c r="U954" s="1" t="str">
        <f>IF(F954&lt;6,"Night",
IF(F954&lt;12,"Morning",
IF(F954&lt;17,"Afternoon",
IF(F954&lt;21,"Evening","Night"))))</f>
        <v>Afternoon</v>
      </c>
      <c r="V954" s="1" t="str">
        <f>IF(J954&lt;0.3,"Cold",
IF(J954&lt;0.6,"Pleasant","Hot"))</f>
        <v>Pleasant</v>
      </c>
      <c r="W954" s="1" t="str">
        <f>IF(L954&lt;0.4,"Low",
IF(L954&lt;0.7,"Medium","High"))</f>
        <v>Low</v>
      </c>
      <c r="X954" s="1" t="str">
        <f>IF(M954&lt;0.2,"Low",
IF(M954&lt;0.4,"Medium","High"))</f>
        <v>High</v>
      </c>
      <c r="Y954" s="1" t="str">
        <f>IF(P954&lt;100,"Low",
IF(P954&lt;300,"Medium","High"))</f>
        <v>Medium</v>
      </c>
    </row>
    <row r="955" spans="1:25" x14ac:dyDescent="0.3">
      <c r="A955">
        <v>963</v>
      </c>
      <c r="B955" s="2">
        <v>40586</v>
      </c>
      <c r="C955">
        <v>1</v>
      </c>
      <c r="D955">
        <v>0</v>
      </c>
      <c r="E955">
        <v>2</v>
      </c>
      <c r="F955">
        <v>17</v>
      </c>
      <c r="G955" t="b">
        <v>0</v>
      </c>
      <c r="H955">
        <v>6</v>
      </c>
      <c r="I955">
        <v>1</v>
      </c>
      <c r="J955">
        <v>0.32</v>
      </c>
      <c r="K955">
        <v>0.28789999999999999</v>
      </c>
      <c r="L955">
        <v>0.31</v>
      </c>
      <c r="M955">
        <v>0.52239999999999998</v>
      </c>
      <c r="N955">
        <v>24</v>
      </c>
      <c r="O955">
        <v>113</v>
      </c>
      <c r="P955">
        <v>137</v>
      </c>
      <c r="Q955" t="str">
        <f>VLOOKUP(MasterData[[#This Row],[season]],[1]Lookup!$A$2:$B$5,2,FALSE)</f>
        <v>Spring</v>
      </c>
      <c r="R955" t="str">
        <f>TEXT(DATE(2026,E955,1),"mmmm")</f>
        <v>February</v>
      </c>
      <c r="S955" t="str">
        <f>IF(OR(H955=0,H955=6),"Weekend","Weekday")</f>
        <v>Weekend</v>
      </c>
      <c r="T955" s="1" t="str">
        <f>VLOOKUP(I955,[1]Lookup!$D$2:$E$5,2,FALSE)</f>
        <v>Clear</v>
      </c>
      <c r="U955" s="1" t="str">
        <f>IF(F955&lt;6,"Night",
IF(F955&lt;12,"Morning",
IF(F955&lt;17,"Afternoon",
IF(F955&lt;21,"Evening","Night"))))</f>
        <v>Evening</v>
      </c>
      <c r="V955" s="1" t="str">
        <f>IF(J955&lt;0.3,"Cold",
IF(J955&lt;0.6,"Pleasant","Hot"))</f>
        <v>Pleasant</v>
      </c>
      <c r="W955" s="1" t="str">
        <f>IF(L955&lt;0.4,"Low",
IF(L955&lt;0.7,"Medium","High"))</f>
        <v>Low</v>
      </c>
      <c r="X955" s="1" t="str">
        <f>IF(M955&lt;0.2,"Low",
IF(M955&lt;0.4,"Medium","High"))</f>
        <v>High</v>
      </c>
      <c r="Y955" s="1" t="str">
        <f>IF(P955&lt;100,"Low",
IF(P955&lt;300,"Medium","High"))</f>
        <v>Medium</v>
      </c>
    </row>
    <row r="956" spans="1:25" x14ac:dyDescent="0.3">
      <c r="A956">
        <v>964</v>
      </c>
      <c r="B956" s="2">
        <v>40586</v>
      </c>
      <c r="C956">
        <v>1</v>
      </c>
      <c r="D956">
        <v>0</v>
      </c>
      <c r="E956">
        <v>2</v>
      </c>
      <c r="F956">
        <v>18</v>
      </c>
      <c r="G956" t="b">
        <v>0</v>
      </c>
      <c r="H956">
        <v>6</v>
      </c>
      <c r="I956">
        <v>1</v>
      </c>
      <c r="J956">
        <v>0.28000000000000003</v>
      </c>
      <c r="K956">
        <v>0.2576</v>
      </c>
      <c r="L956">
        <v>0.38</v>
      </c>
      <c r="M956">
        <v>0.32840000000000003</v>
      </c>
      <c r="N956">
        <v>4</v>
      </c>
      <c r="O956">
        <v>60</v>
      </c>
      <c r="P956">
        <v>64</v>
      </c>
      <c r="Q956" t="str">
        <f>VLOOKUP(MasterData[[#This Row],[season]],[1]Lookup!$A$2:$B$5,2,FALSE)</f>
        <v>Spring</v>
      </c>
      <c r="R956" t="str">
        <f>TEXT(DATE(2026,E956,1),"mmmm")</f>
        <v>February</v>
      </c>
      <c r="S956" t="str">
        <f>IF(OR(H956=0,H956=6),"Weekend","Weekday")</f>
        <v>Weekend</v>
      </c>
      <c r="T956" s="1" t="str">
        <f>VLOOKUP(I956,[1]Lookup!$D$2:$E$5,2,FALSE)</f>
        <v>Clear</v>
      </c>
      <c r="U956" s="1" t="str">
        <f>IF(F956&lt;6,"Night",
IF(F956&lt;12,"Morning",
IF(F956&lt;17,"Afternoon",
IF(F956&lt;21,"Evening","Night"))))</f>
        <v>Evening</v>
      </c>
      <c r="V956" s="1" t="str">
        <f>IF(J956&lt;0.3,"Cold",
IF(J956&lt;0.6,"Pleasant","Hot"))</f>
        <v>Cold</v>
      </c>
      <c r="W956" s="1" t="str">
        <f>IF(L956&lt;0.4,"Low",
IF(L956&lt;0.7,"Medium","High"))</f>
        <v>Low</v>
      </c>
      <c r="X956" s="1" t="str">
        <f>IF(M956&lt;0.2,"Low",
IF(M956&lt;0.4,"Medium","High"))</f>
        <v>Medium</v>
      </c>
      <c r="Y956" s="1" t="str">
        <f>IF(P956&lt;100,"Low",
IF(P956&lt;300,"Medium","High"))</f>
        <v>Low</v>
      </c>
    </row>
    <row r="957" spans="1:25" x14ac:dyDescent="0.3">
      <c r="A957">
        <v>965</v>
      </c>
      <c r="B957" s="2">
        <v>40586</v>
      </c>
      <c r="C957">
        <v>1</v>
      </c>
      <c r="D957">
        <v>0</v>
      </c>
      <c r="E957">
        <v>2</v>
      </c>
      <c r="F957">
        <v>19</v>
      </c>
      <c r="G957" t="b">
        <v>0</v>
      </c>
      <c r="H957">
        <v>6</v>
      </c>
      <c r="I957">
        <v>1</v>
      </c>
      <c r="J957">
        <v>0.28000000000000003</v>
      </c>
      <c r="K957">
        <v>0.2727</v>
      </c>
      <c r="L957">
        <v>0.38</v>
      </c>
      <c r="M957">
        <v>0.16420000000000001</v>
      </c>
      <c r="N957">
        <v>2</v>
      </c>
      <c r="O957">
        <v>39</v>
      </c>
      <c r="P957">
        <v>41</v>
      </c>
      <c r="Q957" t="str">
        <f>VLOOKUP(MasterData[[#This Row],[season]],[1]Lookup!$A$2:$B$5,2,FALSE)</f>
        <v>Spring</v>
      </c>
      <c r="R957" t="str">
        <f>TEXT(DATE(2026,E957,1),"mmmm")</f>
        <v>February</v>
      </c>
      <c r="S957" t="str">
        <f>IF(OR(H957=0,H957=6),"Weekend","Weekday")</f>
        <v>Weekend</v>
      </c>
      <c r="T957" s="1" t="str">
        <f>VLOOKUP(I957,[1]Lookup!$D$2:$E$5,2,FALSE)</f>
        <v>Clear</v>
      </c>
      <c r="U957" s="1" t="str">
        <f>IF(F957&lt;6,"Night",
IF(F957&lt;12,"Morning",
IF(F957&lt;17,"Afternoon",
IF(F957&lt;21,"Evening","Night"))))</f>
        <v>Evening</v>
      </c>
      <c r="V957" s="1" t="str">
        <f>IF(J957&lt;0.3,"Cold",
IF(J957&lt;0.6,"Pleasant","Hot"))</f>
        <v>Cold</v>
      </c>
      <c r="W957" s="1" t="str">
        <f>IF(L957&lt;0.4,"Low",
IF(L957&lt;0.7,"Medium","High"))</f>
        <v>Low</v>
      </c>
      <c r="X957" s="1" t="str">
        <f>IF(M957&lt;0.2,"Low",
IF(M957&lt;0.4,"Medium","High"))</f>
        <v>Low</v>
      </c>
      <c r="Y957" s="1" t="str">
        <f>IF(P957&lt;100,"Low",
IF(P957&lt;300,"Medium","High"))</f>
        <v>Low</v>
      </c>
    </row>
    <row r="958" spans="1:25" x14ac:dyDescent="0.3">
      <c r="A958">
        <v>966</v>
      </c>
      <c r="B958" s="2">
        <v>40586</v>
      </c>
      <c r="C958">
        <v>1</v>
      </c>
      <c r="D958">
        <v>0</v>
      </c>
      <c r="E958">
        <v>2</v>
      </c>
      <c r="F958">
        <v>20</v>
      </c>
      <c r="G958" t="b">
        <v>0</v>
      </c>
      <c r="H958">
        <v>6</v>
      </c>
      <c r="I958">
        <v>1</v>
      </c>
      <c r="J958">
        <v>0.26</v>
      </c>
      <c r="K958">
        <v>0.2576</v>
      </c>
      <c r="L958">
        <v>0.41</v>
      </c>
      <c r="M958">
        <v>0.22389999999999999</v>
      </c>
      <c r="N958">
        <v>1</v>
      </c>
      <c r="O958">
        <v>39</v>
      </c>
      <c r="P958">
        <v>40</v>
      </c>
      <c r="Q958" t="str">
        <f>VLOOKUP(MasterData[[#This Row],[season]],[1]Lookup!$A$2:$B$5,2,FALSE)</f>
        <v>Spring</v>
      </c>
      <c r="R958" t="str">
        <f>TEXT(DATE(2026,E958,1),"mmmm")</f>
        <v>February</v>
      </c>
      <c r="S958" t="str">
        <f>IF(OR(H958=0,H958=6),"Weekend","Weekday")</f>
        <v>Weekend</v>
      </c>
      <c r="T958" s="1" t="str">
        <f>VLOOKUP(I958,[1]Lookup!$D$2:$E$5,2,FALSE)</f>
        <v>Clear</v>
      </c>
      <c r="U958" s="1" t="str">
        <f>IF(F958&lt;6,"Night",
IF(F958&lt;12,"Morning",
IF(F958&lt;17,"Afternoon",
IF(F958&lt;21,"Evening","Night"))))</f>
        <v>Evening</v>
      </c>
      <c r="V958" s="1" t="str">
        <f>IF(J958&lt;0.3,"Cold",
IF(J958&lt;0.6,"Pleasant","Hot"))</f>
        <v>Cold</v>
      </c>
      <c r="W958" s="1" t="str">
        <f>IF(L958&lt;0.4,"Low",
IF(L958&lt;0.7,"Medium","High"))</f>
        <v>Medium</v>
      </c>
      <c r="X958" s="1" t="str">
        <f>IF(M958&lt;0.2,"Low",
IF(M958&lt;0.4,"Medium","High"))</f>
        <v>Medium</v>
      </c>
      <c r="Y958" s="1" t="str">
        <f>IF(P958&lt;100,"Low",
IF(P958&lt;300,"Medium","High"))</f>
        <v>Low</v>
      </c>
    </row>
    <row r="959" spans="1:25" x14ac:dyDescent="0.3">
      <c r="A959">
        <v>967</v>
      </c>
      <c r="B959" s="2">
        <v>40586</v>
      </c>
      <c r="C959">
        <v>1</v>
      </c>
      <c r="D959">
        <v>0</v>
      </c>
      <c r="E959">
        <v>2</v>
      </c>
      <c r="F959">
        <v>21</v>
      </c>
      <c r="G959" t="b">
        <v>0</v>
      </c>
      <c r="H959">
        <v>6</v>
      </c>
      <c r="I959">
        <v>1</v>
      </c>
      <c r="J959">
        <v>0.26</v>
      </c>
      <c r="K959">
        <v>0.30299999999999999</v>
      </c>
      <c r="L959">
        <v>0.41</v>
      </c>
      <c r="M959">
        <v>0</v>
      </c>
      <c r="N959">
        <v>9</v>
      </c>
      <c r="O959">
        <v>42</v>
      </c>
      <c r="P959">
        <v>51</v>
      </c>
      <c r="Q959" t="str">
        <f>VLOOKUP(MasterData[[#This Row],[season]],[1]Lookup!$A$2:$B$5,2,FALSE)</f>
        <v>Spring</v>
      </c>
      <c r="R959" t="str">
        <f>TEXT(DATE(2026,E959,1),"mmmm")</f>
        <v>February</v>
      </c>
      <c r="S959" t="str">
        <f>IF(OR(H959=0,H959=6),"Weekend","Weekday")</f>
        <v>Weekend</v>
      </c>
      <c r="T959" s="1" t="str">
        <f>VLOOKUP(I959,[1]Lookup!$D$2:$E$5,2,FALSE)</f>
        <v>Clear</v>
      </c>
      <c r="U959" s="1" t="str">
        <f>IF(F959&lt;6,"Night",
IF(F959&lt;12,"Morning",
IF(F959&lt;17,"Afternoon",
IF(F959&lt;21,"Evening","Night"))))</f>
        <v>Night</v>
      </c>
      <c r="V959" s="1" t="str">
        <f>IF(J959&lt;0.3,"Cold",
IF(J959&lt;0.6,"Pleasant","Hot"))</f>
        <v>Cold</v>
      </c>
      <c r="W959" s="1" t="str">
        <f>IF(L959&lt;0.4,"Low",
IF(L959&lt;0.7,"Medium","High"))</f>
        <v>Medium</v>
      </c>
      <c r="X959" s="1" t="str">
        <f>IF(M959&lt;0.2,"Low",
IF(M959&lt;0.4,"Medium","High"))</f>
        <v>Low</v>
      </c>
      <c r="Y959" s="1" t="str">
        <f>IF(P959&lt;100,"Low",
IF(P959&lt;300,"Medium","High"))</f>
        <v>Low</v>
      </c>
    </row>
    <row r="960" spans="1:25" x14ac:dyDescent="0.3">
      <c r="A960">
        <v>968</v>
      </c>
      <c r="B960" s="2">
        <v>40586</v>
      </c>
      <c r="C960">
        <v>1</v>
      </c>
      <c r="D960">
        <v>0</v>
      </c>
      <c r="E960">
        <v>2</v>
      </c>
      <c r="F960">
        <v>22</v>
      </c>
      <c r="G960" t="b">
        <v>0</v>
      </c>
      <c r="H960">
        <v>6</v>
      </c>
      <c r="I960">
        <v>1</v>
      </c>
      <c r="J960">
        <v>0.24</v>
      </c>
      <c r="K960">
        <v>0.2576</v>
      </c>
      <c r="L960">
        <v>0.44</v>
      </c>
      <c r="M960">
        <v>8.9599999999999999E-2</v>
      </c>
      <c r="N960">
        <v>6</v>
      </c>
      <c r="O960">
        <v>39</v>
      </c>
      <c r="P960">
        <v>45</v>
      </c>
      <c r="Q960" t="str">
        <f>VLOOKUP(MasterData[[#This Row],[season]],[1]Lookup!$A$2:$B$5,2,FALSE)</f>
        <v>Spring</v>
      </c>
      <c r="R960" t="str">
        <f>TEXT(DATE(2026,E960,1),"mmmm")</f>
        <v>February</v>
      </c>
      <c r="S960" t="str">
        <f>IF(OR(H960=0,H960=6),"Weekend","Weekday")</f>
        <v>Weekend</v>
      </c>
      <c r="T960" s="1" t="str">
        <f>VLOOKUP(I960,[1]Lookup!$D$2:$E$5,2,FALSE)</f>
        <v>Clear</v>
      </c>
      <c r="U960" s="1" t="str">
        <f>IF(F960&lt;6,"Night",
IF(F960&lt;12,"Morning",
IF(F960&lt;17,"Afternoon",
IF(F960&lt;21,"Evening","Night"))))</f>
        <v>Night</v>
      </c>
      <c r="V960" s="1" t="str">
        <f>IF(J960&lt;0.3,"Cold",
IF(J960&lt;0.6,"Pleasant","Hot"))</f>
        <v>Cold</v>
      </c>
      <c r="W960" s="1" t="str">
        <f>IF(L960&lt;0.4,"Low",
IF(L960&lt;0.7,"Medium","High"))</f>
        <v>Medium</v>
      </c>
      <c r="X960" s="1" t="str">
        <f>IF(M960&lt;0.2,"Low",
IF(M960&lt;0.4,"Medium","High"))</f>
        <v>Low</v>
      </c>
      <c r="Y960" s="1" t="str">
        <f>IF(P960&lt;100,"Low",
IF(P960&lt;300,"Medium","High"))</f>
        <v>Low</v>
      </c>
    </row>
    <row r="961" spans="1:25" x14ac:dyDescent="0.3">
      <c r="A961">
        <v>969</v>
      </c>
      <c r="B961" s="2">
        <v>40586</v>
      </c>
      <c r="C961">
        <v>1</v>
      </c>
      <c r="D961">
        <v>0</v>
      </c>
      <c r="E961">
        <v>2</v>
      </c>
      <c r="F961">
        <v>23</v>
      </c>
      <c r="G961" t="b">
        <v>0</v>
      </c>
      <c r="H961">
        <v>6</v>
      </c>
      <c r="I961">
        <v>1</v>
      </c>
      <c r="J961">
        <v>0.22</v>
      </c>
      <c r="K961">
        <v>0.2273</v>
      </c>
      <c r="L961">
        <v>0.51</v>
      </c>
      <c r="M961">
        <v>0.1343</v>
      </c>
      <c r="N961">
        <v>1</v>
      </c>
      <c r="O961">
        <v>31</v>
      </c>
      <c r="P961">
        <v>32</v>
      </c>
      <c r="Q961" t="str">
        <f>VLOOKUP(MasterData[[#This Row],[season]],[1]Lookup!$A$2:$B$5,2,FALSE)</f>
        <v>Spring</v>
      </c>
      <c r="R961" t="str">
        <f>TEXT(DATE(2026,E961,1),"mmmm")</f>
        <v>February</v>
      </c>
      <c r="S961" t="str">
        <f>IF(OR(H961=0,H961=6),"Weekend","Weekday")</f>
        <v>Weekend</v>
      </c>
      <c r="T961" s="1" t="str">
        <f>VLOOKUP(I961,[1]Lookup!$D$2:$E$5,2,FALSE)</f>
        <v>Clear</v>
      </c>
      <c r="U961" s="1" t="str">
        <f>IF(F961&lt;6,"Night",
IF(F961&lt;12,"Morning",
IF(F961&lt;17,"Afternoon",
IF(F961&lt;21,"Evening","Night"))))</f>
        <v>Night</v>
      </c>
      <c r="V961" s="1" t="str">
        <f>IF(J961&lt;0.3,"Cold",
IF(J961&lt;0.6,"Pleasant","Hot"))</f>
        <v>Cold</v>
      </c>
      <c r="W961" s="1" t="str">
        <f>IF(L961&lt;0.4,"Low",
IF(L961&lt;0.7,"Medium","High"))</f>
        <v>Medium</v>
      </c>
      <c r="X961" s="1" t="str">
        <f>IF(M961&lt;0.2,"Low",
IF(M961&lt;0.4,"Medium","High"))</f>
        <v>Low</v>
      </c>
      <c r="Y961" s="1" t="str">
        <f>IF(P961&lt;100,"Low",
IF(P961&lt;300,"Medium","High"))</f>
        <v>Low</v>
      </c>
    </row>
    <row r="962" spans="1:25" x14ac:dyDescent="0.3">
      <c r="A962">
        <v>970</v>
      </c>
      <c r="B962" s="2">
        <v>40587</v>
      </c>
      <c r="C962">
        <v>1</v>
      </c>
      <c r="D962">
        <v>0</v>
      </c>
      <c r="E962">
        <v>2</v>
      </c>
      <c r="F962">
        <v>0</v>
      </c>
      <c r="G962" t="b">
        <v>0</v>
      </c>
      <c r="H962">
        <v>0</v>
      </c>
      <c r="I962">
        <v>1</v>
      </c>
      <c r="J962">
        <v>0.2</v>
      </c>
      <c r="K962">
        <v>0.2273</v>
      </c>
      <c r="L962">
        <v>0.64</v>
      </c>
      <c r="M962">
        <v>0.1045</v>
      </c>
      <c r="N962">
        <v>5</v>
      </c>
      <c r="O962">
        <v>34</v>
      </c>
      <c r="P962">
        <v>39</v>
      </c>
      <c r="Q962" t="str">
        <f>VLOOKUP(MasterData[[#This Row],[season]],[1]Lookup!$A$2:$B$5,2,FALSE)</f>
        <v>Spring</v>
      </c>
      <c r="R962" t="str">
        <f>TEXT(DATE(2026,E962,1),"mmmm")</f>
        <v>February</v>
      </c>
      <c r="S962" t="str">
        <f>IF(OR(H962=0,H962=6),"Weekend","Weekday")</f>
        <v>Weekend</v>
      </c>
      <c r="T962" s="1" t="str">
        <f>VLOOKUP(I962,[1]Lookup!$D$2:$E$5,2,FALSE)</f>
        <v>Clear</v>
      </c>
      <c r="U962" s="1" t="str">
        <f>IF(F962&lt;6,"Night",
IF(F962&lt;12,"Morning",
IF(F962&lt;17,"Afternoon",
IF(F962&lt;21,"Evening","Night"))))</f>
        <v>Night</v>
      </c>
      <c r="V962" s="1" t="str">
        <f>IF(J962&lt;0.3,"Cold",
IF(J962&lt;0.6,"Pleasant","Hot"))</f>
        <v>Cold</v>
      </c>
      <c r="W962" s="1" t="str">
        <f>IF(L962&lt;0.4,"Low",
IF(L962&lt;0.7,"Medium","High"))</f>
        <v>Medium</v>
      </c>
      <c r="X962" s="1" t="str">
        <f>IF(M962&lt;0.2,"Low",
IF(M962&lt;0.4,"Medium","High"))</f>
        <v>Low</v>
      </c>
      <c r="Y962" s="1" t="str">
        <f>IF(P962&lt;100,"Low",
IF(P962&lt;300,"Medium","High"))</f>
        <v>Low</v>
      </c>
    </row>
    <row r="963" spans="1:25" x14ac:dyDescent="0.3">
      <c r="A963">
        <v>971</v>
      </c>
      <c r="B963" s="2">
        <v>40587</v>
      </c>
      <c r="C963">
        <v>1</v>
      </c>
      <c r="D963">
        <v>0</v>
      </c>
      <c r="E963">
        <v>2</v>
      </c>
      <c r="F963">
        <v>1</v>
      </c>
      <c r="G963" t="b">
        <v>0</v>
      </c>
      <c r="H963">
        <v>0</v>
      </c>
      <c r="I963">
        <v>1</v>
      </c>
      <c r="J963">
        <v>0.2</v>
      </c>
      <c r="K963">
        <v>0.2273</v>
      </c>
      <c r="L963">
        <v>0.59</v>
      </c>
      <c r="M963">
        <v>8.9599999999999999E-2</v>
      </c>
      <c r="N963">
        <v>1</v>
      </c>
      <c r="O963">
        <v>23</v>
      </c>
      <c r="P963">
        <v>24</v>
      </c>
      <c r="Q963" t="str">
        <f>VLOOKUP(MasterData[[#This Row],[season]],[1]Lookup!$A$2:$B$5,2,FALSE)</f>
        <v>Spring</v>
      </c>
      <c r="R963" t="str">
        <f>TEXT(DATE(2026,E963,1),"mmmm")</f>
        <v>February</v>
      </c>
      <c r="S963" t="str">
        <f>IF(OR(H963=0,H963=6),"Weekend","Weekday")</f>
        <v>Weekend</v>
      </c>
      <c r="T963" s="1" t="str">
        <f>VLOOKUP(I963,[1]Lookup!$D$2:$E$5,2,FALSE)</f>
        <v>Clear</v>
      </c>
      <c r="U963" s="1" t="str">
        <f>IF(F963&lt;6,"Night",
IF(F963&lt;12,"Morning",
IF(F963&lt;17,"Afternoon",
IF(F963&lt;21,"Evening","Night"))))</f>
        <v>Night</v>
      </c>
      <c r="V963" s="1" t="str">
        <f>IF(J963&lt;0.3,"Cold",
IF(J963&lt;0.6,"Pleasant","Hot"))</f>
        <v>Cold</v>
      </c>
      <c r="W963" s="1" t="str">
        <f>IF(L963&lt;0.4,"Low",
IF(L963&lt;0.7,"Medium","High"))</f>
        <v>Medium</v>
      </c>
      <c r="X963" s="1" t="str">
        <f>IF(M963&lt;0.2,"Low",
IF(M963&lt;0.4,"Medium","High"))</f>
        <v>Low</v>
      </c>
      <c r="Y963" s="1" t="str">
        <f>IF(P963&lt;100,"Low",
IF(P963&lt;300,"Medium","High"))</f>
        <v>Low</v>
      </c>
    </row>
    <row r="964" spans="1:25" x14ac:dyDescent="0.3">
      <c r="A964">
        <v>972</v>
      </c>
      <c r="B964" s="2">
        <v>40587</v>
      </c>
      <c r="C964">
        <v>1</v>
      </c>
      <c r="D964">
        <v>0</v>
      </c>
      <c r="E964">
        <v>2</v>
      </c>
      <c r="F964">
        <v>2</v>
      </c>
      <c r="G964" t="b">
        <v>0</v>
      </c>
      <c r="H964">
        <v>0</v>
      </c>
      <c r="I964">
        <v>2</v>
      </c>
      <c r="J964">
        <v>0.2</v>
      </c>
      <c r="K964">
        <v>0.2273</v>
      </c>
      <c r="L964">
        <v>0.75</v>
      </c>
      <c r="M964">
        <v>8.9599999999999999E-2</v>
      </c>
      <c r="N964">
        <v>1</v>
      </c>
      <c r="O964">
        <v>19</v>
      </c>
      <c r="P964">
        <v>20</v>
      </c>
      <c r="Q964" t="str">
        <f>VLOOKUP(MasterData[[#This Row],[season]],[1]Lookup!$A$2:$B$5,2,FALSE)</f>
        <v>Spring</v>
      </c>
      <c r="R964" t="str">
        <f>TEXT(DATE(2026,E964,1),"mmmm")</f>
        <v>February</v>
      </c>
      <c r="S964" t="str">
        <f>IF(OR(H964=0,H964=6),"Weekend","Weekday")</f>
        <v>Weekend</v>
      </c>
      <c r="T964" s="1" t="str">
        <f>VLOOKUP(I964,[1]Lookup!$D$2:$E$5,2,FALSE)</f>
        <v>Mist / Cloudy</v>
      </c>
      <c r="U964" s="1" t="str">
        <f>IF(F964&lt;6,"Night",
IF(F964&lt;12,"Morning",
IF(F964&lt;17,"Afternoon",
IF(F964&lt;21,"Evening","Night"))))</f>
        <v>Night</v>
      </c>
      <c r="V964" s="1" t="str">
        <f>IF(J964&lt;0.3,"Cold",
IF(J964&lt;0.6,"Pleasant","Hot"))</f>
        <v>Cold</v>
      </c>
      <c r="W964" s="1" t="str">
        <f>IF(L964&lt;0.4,"Low",
IF(L964&lt;0.7,"Medium","High"))</f>
        <v>High</v>
      </c>
      <c r="X964" s="1" t="str">
        <f>IF(M964&lt;0.2,"Low",
IF(M964&lt;0.4,"Medium","High"))</f>
        <v>Low</v>
      </c>
      <c r="Y964" s="1" t="str">
        <f>IF(P964&lt;100,"Low",
IF(P964&lt;300,"Medium","High"))</f>
        <v>Low</v>
      </c>
    </row>
    <row r="965" spans="1:25" x14ac:dyDescent="0.3">
      <c r="A965">
        <v>973</v>
      </c>
      <c r="B965" s="2">
        <v>40587</v>
      </c>
      <c r="C965">
        <v>1</v>
      </c>
      <c r="D965">
        <v>0</v>
      </c>
      <c r="E965">
        <v>2</v>
      </c>
      <c r="F965">
        <v>3</v>
      </c>
      <c r="G965" t="b">
        <v>0</v>
      </c>
      <c r="H965">
        <v>0</v>
      </c>
      <c r="I965">
        <v>2</v>
      </c>
      <c r="J965">
        <v>0.2</v>
      </c>
      <c r="K965">
        <v>0.2273</v>
      </c>
      <c r="L965">
        <v>0.69</v>
      </c>
      <c r="M965">
        <v>0.1045</v>
      </c>
      <c r="N965">
        <v>4</v>
      </c>
      <c r="O965">
        <v>8</v>
      </c>
      <c r="P965">
        <v>12</v>
      </c>
      <c r="Q965" t="str">
        <f>VLOOKUP(MasterData[[#This Row],[season]],[1]Lookup!$A$2:$B$5,2,FALSE)</f>
        <v>Spring</v>
      </c>
      <c r="R965" t="str">
        <f>TEXT(DATE(2026,E965,1),"mmmm")</f>
        <v>February</v>
      </c>
      <c r="S965" t="str">
        <f>IF(OR(H965=0,H965=6),"Weekend","Weekday")</f>
        <v>Weekend</v>
      </c>
      <c r="T965" s="1" t="str">
        <f>VLOOKUP(I965,[1]Lookup!$D$2:$E$5,2,FALSE)</f>
        <v>Mist / Cloudy</v>
      </c>
      <c r="U965" s="1" t="str">
        <f>IF(F965&lt;6,"Night",
IF(F965&lt;12,"Morning",
IF(F965&lt;17,"Afternoon",
IF(F965&lt;21,"Evening","Night"))))</f>
        <v>Night</v>
      </c>
      <c r="V965" s="1" t="str">
        <f>IF(J965&lt;0.3,"Cold",
IF(J965&lt;0.6,"Pleasant","Hot"))</f>
        <v>Cold</v>
      </c>
      <c r="W965" s="1" t="str">
        <f>IF(L965&lt;0.4,"Low",
IF(L965&lt;0.7,"Medium","High"))</f>
        <v>Medium</v>
      </c>
      <c r="X965" s="1" t="str">
        <f>IF(M965&lt;0.2,"Low",
IF(M965&lt;0.4,"Medium","High"))</f>
        <v>Low</v>
      </c>
      <c r="Y965" s="1" t="str">
        <f>IF(P965&lt;100,"Low",
IF(P965&lt;300,"Medium","High"))</f>
        <v>Low</v>
      </c>
    </row>
    <row r="966" spans="1:25" x14ac:dyDescent="0.3">
      <c r="A966">
        <v>974</v>
      </c>
      <c r="B966" s="2">
        <v>40587</v>
      </c>
      <c r="C966">
        <v>1</v>
      </c>
      <c r="D966">
        <v>0</v>
      </c>
      <c r="E966">
        <v>2</v>
      </c>
      <c r="F966">
        <v>4</v>
      </c>
      <c r="G966" t="b">
        <v>0</v>
      </c>
      <c r="H966">
        <v>0</v>
      </c>
      <c r="I966">
        <v>2</v>
      </c>
      <c r="J966">
        <v>0.2</v>
      </c>
      <c r="K966">
        <v>0.21210000000000001</v>
      </c>
      <c r="L966">
        <v>0.69</v>
      </c>
      <c r="M966">
        <v>0.16420000000000001</v>
      </c>
      <c r="N966">
        <v>0</v>
      </c>
      <c r="O966">
        <v>2</v>
      </c>
      <c r="P966">
        <v>2</v>
      </c>
      <c r="Q966" t="str">
        <f>VLOOKUP(MasterData[[#This Row],[season]],[1]Lookup!$A$2:$B$5,2,FALSE)</f>
        <v>Spring</v>
      </c>
      <c r="R966" t="str">
        <f>TEXT(DATE(2026,E966,1),"mmmm")</f>
        <v>February</v>
      </c>
      <c r="S966" t="str">
        <f>IF(OR(H966=0,H966=6),"Weekend","Weekday")</f>
        <v>Weekend</v>
      </c>
      <c r="T966" s="1" t="str">
        <f>VLOOKUP(I966,[1]Lookup!$D$2:$E$5,2,FALSE)</f>
        <v>Mist / Cloudy</v>
      </c>
      <c r="U966" s="1" t="str">
        <f>IF(F966&lt;6,"Night",
IF(F966&lt;12,"Morning",
IF(F966&lt;17,"Afternoon",
IF(F966&lt;21,"Evening","Night"))))</f>
        <v>Night</v>
      </c>
      <c r="V966" s="1" t="str">
        <f>IF(J966&lt;0.3,"Cold",
IF(J966&lt;0.6,"Pleasant","Hot"))</f>
        <v>Cold</v>
      </c>
      <c r="W966" s="1" t="str">
        <f>IF(L966&lt;0.4,"Low",
IF(L966&lt;0.7,"Medium","High"))</f>
        <v>Medium</v>
      </c>
      <c r="X966" s="1" t="str">
        <f>IF(M966&lt;0.2,"Low",
IF(M966&lt;0.4,"Medium","High"))</f>
        <v>Low</v>
      </c>
      <c r="Y966" s="1" t="str">
        <f>IF(P966&lt;100,"Low",
IF(P966&lt;300,"Medium","High"))</f>
        <v>Low</v>
      </c>
    </row>
    <row r="967" spans="1:25" x14ac:dyDescent="0.3">
      <c r="A967">
        <v>975</v>
      </c>
      <c r="B967" s="2">
        <v>40587</v>
      </c>
      <c r="C967">
        <v>1</v>
      </c>
      <c r="D967">
        <v>0</v>
      </c>
      <c r="E967">
        <v>2</v>
      </c>
      <c r="F967">
        <v>6</v>
      </c>
      <c r="G967" t="b">
        <v>0</v>
      </c>
      <c r="H967">
        <v>0</v>
      </c>
      <c r="I967">
        <v>2</v>
      </c>
      <c r="J967">
        <v>0.2</v>
      </c>
      <c r="K967">
        <v>0.21210000000000001</v>
      </c>
      <c r="L967">
        <v>0.69</v>
      </c>
      <c r="M967">
        <v>0.1343</v>
      </c>
      <c r="N967">
        <v>2</v>
      </c>
      <c r="O967">
        <v>3</v>
      </c>
      <c r="P967">
        <v>5</v>
      </c>
      <c r="Q967" t="str">
        <f>VLOOKUP(MasterData[[#This Row],[season]],[1]Lookup!$A$2:$B$5,2,FALSE)</f>
        <v>Spring</v>
      </c>
      <c r="R967" t="str">
        <f>TEXT(DATE(2026,E967,1),"mmmm")</f>
        <v>February</v>
      </c>
      <c r="S967" t="str">
        <f>IF(OR(H967=0,H967=6),"Weekend","Weekday")</f>
        <v>Weekend</v>
      </c>
      <c r="T967" s="1" t="str">
        <f>VLOOKUP(I967,[1]Lookup!$D$2:$E$5,2,FALSE)</f>
        <v>Mist / Cloudy</v>
      </c>
      <c r="U967" s="1" t="str">
        <f>IF(F967&lt;6,"Night",
IF(F967&lt;12,"Morning",
IF(F967&lt;17,"Afternoon",
IF(F967&lt;21,"Evening","Night"))))</f>
        <v>Morning</v>
      </c>
      <c r="V967" s="1" t="str">
        <f>IF(J967&lt;0.3,"Cold",
IF(J967&lt;0.6,"Pleasant","Hot"))</f>
        <v>Cold</v>
      </c>
      <c r="W967" s="1" t="str">
        <f>IF(L967&lt;0.4,"Low",
IF(L967&lt;0.7,"Medium","High"))</f>
        <v>Medium</v>
      </c>
      <c r="X967" s="1" t="str">
        <f>IF(M967&lt;0.2,"Low",
IF(M967&lt;0.4,"Medium","High"))</f>
        <v>Low</v>
      </c>
      <c r="Y967" s="1" t="str">
        <f>IF(P967&lt;100,"Low",
IF(P967&lt;300,"Medium","High"))</f>
        <v>Low</v>
      </c>
    </row>
    <row r="968" spans="1:25" x14ac:dyDescent="0.3">
      <c r="A968">
        <v>976</v>
      </c>
      <c r="B968" s="2">
        <v>40587</v>
      </c>
      <c r="C968">
        <v>1</v>
      </c>
      <c r="D968">
        <v>0</v>
      </c>
      <c r="E968">
        <v>2</v>
      </c>
      <c r="F968">
        <v>7</v>
      </c>
      <c r="G968" t="b">
        <v>0</v>
      </c>
      <c r="H968">
        <v>0</v>
      </c>
      <c r="I968">
        <v>2</v>
      </c>
      <c r="J968">
        <v>0.22</v>
      </c>
      <c r="K968">
        <v>0.2727</v>
      </c>
      <c r="L968">
        <v>0.55000000000000004</v>
      </c>
      <c r="M968">
        <v>0</v>
      </c>
      <c r="N968">
        <v>0</v>
      </c>
      <c r="O968">
        <v>3</v>
      </c>
      <c r="P968">
        <v>3</v>
      </c>
      <c r="Q968" t="str">
        <f>VLOOKUP(MasterData[[#This Row],[season]],[1]Lookup!$A$2:$B$5,2,FALSE)</f>
        <v>Spring</v>
      </c>
      <c r="R968" t="str">
        <f>TEXT(DATE(2026,E968,1),"mmmm")</f>
        <v>February</v>
      </c>
      <c r="S968" t="str">
        <f>IF(OR(H968=0,H968=6),"Weekend","Weekday")</f>
        <v>Weekend</v>
      </c>
      <c r="T968" s="1" t="str">
        <f>VLOOKUP(I968,[1]Lookup!$D$2:$E$5,2,FALSE)</f>
        <v>Mist / Cloudy</v>
      </c>
      <c r="U968" s="1" t="str">
        <f>IF(F968&lt;6,"Night",
IF(F968&lt;12,"Morning",
IF(F968&lt;17,"Afternoon",
IF(F968&lt;21,"Evening","Night"))))</f>
        <v>Morning</v>
      </c>
      <c r="V968" s="1" t="str">
        <f>IF(J968&lt;0.3,"Cold",
IF(J968&lt;0.6,"Pleasant","Hot"))</f>
        <v>Cold</v>
      </c>
      <c r="W968" s="1" t="str">
        <f>IF(L968&lt;0.4,"Low",
IF(L968&lt;0.7,"Medium","High"))</f>
        <v>Medium</v>
      </c>
      <c r="X968" s="1" t="str">
        <f>IF(M968&lt;0.2,"Low",
IF(M968&lt;0.4,"Medium","High"))</f>
        <v>Low</v>
      </c>
      <c r="Y968" s="1" t="str">
        <f>IF(P968&lt;100,"Low",
IF(P968&lt;300,"Medium","High"))</f>
        <v>Low</v>
      </c>
    </row>
    <row r="969" spans="1:25" x14ac:dyDescent="0.3">
      <c r="A969">
        <v>977</v>
      </c>
      <c r="B969" s="2">
        <v>40587</v>
      </c>
      <c r="C969">
        <v>1</v>
      </c>
      <c r="D969">
        <v>0</v>
      </c>
      <c r="E969">
        <v>2</v>
      </c>
      <c r="F969">
        <v>8</v>
      </c>
      <c r="G969" t="b">
        <v>0</v>
      </c>
      <c r="H969">
        <v>0</v>
      </c>
      <c r="I969">
        <v>2</v>
      </c>
      <c r="J969">
        <v>0.22</v>
      </c>
      <c r="K969">
        <v>0.2273</v>
      </c>
      <c r="L969">
        <v>0.64</v>
      </c>
      <c r="M969">
        <v>0.19400000000000001</v>
      </c>
      <c r="N969">
        <v>1</v>
      </c>
      <c r="O969">
        <v>11</v>
      </c>
      <c r="P969">
        <v>12</v>
      </c>
      <c r="Q969" t="str">
        <f>VLOOKUP(MasterData[[#This Row],[season]],[1]Lookup!$A$2:$B$5,2,FALSE)</f>
        <v>Spring</v>
      </c>
      <c r="R969" t="str">
        <f>TEXT(DATE(2026,E969,1),"mmmm")</f>
        <v>February</v>
      </c>
      <c r="S969" t="str">
        <f>IF(OR(H969=0,H969=6),"Weekend","Weekday")</f>
        <v>Weekend</v>
      </c>
      <c r="T969" s="1" t="str">
        <f>VLOOKUP(I969,[1]Lookup!$D$2:$E$5,2,FALSE)</f>
        <v>Mist / Cloudy</v>
      </c>
      <c r="U969" s="1" t="str">
        <f>IF(F969&lt;6,"Night",
IF(F969&lt;12,"Morning",
IF(F969&lt;17,"Afternoon",
IF(F969&lt;21,"Evening","Night"))))</f>
        <v>Morning</v>
      </c>
      <c r="V969" s="1" t="str">
        <f>IF(J969&lt;0.3,"Cold",
IF(J969&lt;0.6,"Pleasant","Hot"))</f>
        <v>Cold</v>
      </c>
      <c r="W969" s="1" t="str">
        <f>IF(L969&lt;0.4,"Low",
IF(L969&lt;0.7,"Medium","High"))</f>
        <v>Medium</v>
      </c>
      <c r="X969" s="1" t="str">
        <f>IF(M969&lt;0.2,"Low",
IF(M969&lt;0.4,"Medium","High"))</f>
        <v>Low</v>
      </c>
      <c r="Y969" s="1" t="str">
        <f>IF(P969&lt;100,"Low",
IF(P969&lt;300,"Medium","High"))</f>
        <v>Low</v>
      </c>
    </row>
    <row r="970" spans="1:25" x14ac:dyDescent="0.3">
      <c r="A970">
        <v>978</v>
      </c>
      <c r="B970" s="2">
        <v>40587</v>
      </c>
      <c r="C970">
        <v>1</v>
      </c>
      <c r="D970">
        <v>0</v>
      </c>
      <c r="E970">
        <v>2</v>
      </c>
      <c r="F970">
        <v>9</v>
      </c>
      <c r="G970" t="b">
        <v>0</v>
      </c>
      <c r="H970">
        <v>0</v>
      </c>
      <c r="I970">
        <v>2</v>
      </c>
      <c r="J970">
        <v>0.24</v>
      </c>
      <c r="K970">
        <v>0.2273</v>
      </c>
      <c r="L970">
        <v>0.6</v>
      </c>
      <c r="M970">
        <v>0.22389999999999999</v>
      </c>
      <c r="N970">
        <v>12</v>
      </c>
      <c r="O970">
        <v>35</v>
      </c>
      <c r="P970">
        <v>47</v>
      </c>
      <c r="Q970" t="str">
        <f>VLOOKUP(MasterData[[#This Row],[season]],[1]Lookup!$A$2:$B$5,2,FALSE)</f>
        <v>Spring</v>
      </c>
      <c r="R970" t="str">
        <f>TEXT(DATE(2026,E970,1),"mmmm")</f>
        <v>February</v>
      </c>
      <c r="S970" t="str">
        <f>IF(OR(H970=0,H970=6),"Weekend","Weekday")</f>
        <v>Weekend</v>
      </c>
      <c r="T970" s="1" t="str">
        <f>VLOOKUP(I970,[1]Lookup!$D$2:$E$5,2,FALSE)</f>
        <v>Mist / Cloudy</v>
      </c>
      <c r="U970" s="1" t="str">
        <f>IF(F970&lt;6,"Night",
IF(F970&lt;12,"Morning",
IF(F970&lt;17,"Afternoon",
IF(F970&lt;21,"Evening","Night"))))</f>
        <v>Morning</v>
      </c>
      <c r="V970" s="1" t="str">
        <f>IF(J970&lt;0.3,"Cold",
IF(J970&lt;0.6,"Pleasant","Hot"))</f>
        <v>Cold</v>
      </c>
      <c r="W970" s="1" t="str">
        <f>IF(L970&lt;0.4,"Low",
IF(L970&lt;0.7,"Medium","High"))</f>
        <v>Medium</v>
      </c>
      <c r="X970" s="1" t="str">
        <f>IF(M970&lt;0.2,"Low",
IF(M970&lt;0.4,"Medium","High"))</f>
        <v>Medium</v>
      </c>
      <c r="Y970" s="1" t="str">
        <f>IF(P970&lt;100,"Low",
IF(P970&lt;300,"Medium","High"))</f>
        <v>Low</v>
      </c>
    </row>
    <row r="971" spans="1:25" x14ac:dyDescent="0.3">
      <c r="A971">
        <v>979</v>
      </c>
      <c r="B971" s="2">
        <v>40587</v>
      </c>
      <c r="C971">
        <v>1</v>
      </c>
      <c r="D971">
        <v>0</v>
      </c>
      <c r="E971">
        <v>2</v>
      </c>
      <c r="F971">
        <v>10</v>
      </c>
      <c r="G971" t="b">
        <v>0</v>
      </c>
      <c r="H971">
        <v>0</v>
      </c>
      <c r="I971">
        <v>1</v>
      </c>
      <c r="J971">
        <v>0.3</v>
      </c>
      <c r="K971">
        <v>0.2727</v>
      </c>
      <c r="L971">
        <v>0.45</v>
      </c>
      <c r="M971">
        <v>0.32840000000000003</v>
      </c>
      <c r="N971">
        <v>19</v>
      </c>
      <c r="O971">
        <v>86</v>
      </c>
      <c r="P971">
        <v>105</v>
      </c>
      <c r="Q971" t="str">
        <f>VLOOKUP(MasterData[[#This Row],[season]],[1]Lookup!$A$2:$B$5,2,FALSE)</f>
        <v>Spring</v>
      </c>
      <c r="R971" t="str">
        <f>TEXT(DATE(2026,E971,1),"mmmm")</f>
        <v>February</v>
      </c>
      <c r="S971" t="str">
        <f>IF(OR(H971=0,H971=6),"Weekend","Weekday")</f>
        <v>Weekend</v>
      </c>
      <c r="T971" s="1" t="str">
        <f>VLOOKUP(I971,[1]Lookup!$D$2:$E$5,2,FALSE)</f>
        <v>Clear</v>
      </c>
      <c r="U971" s="1" t="str">
        <f>IF(F971&lt;6,"Night",
IF(F971&lt;12,"Morning",
IF(F971&lt;17,"Afternoon",
IF(F971&lt;21,"Evening","Night"))))</f>
        <v>Morning</v>
      </c>
      <c r="V971" s="1" t="str">
        <f>IF(J971&lt;0.3,"Cold",
IF(J971&lt;0.6,"Pleasant","Hot"))</f>
        <v>Pleasant</v>
      </c>
      <c r="W971" s="1" t="str">
        <f>IF(L971&lt;0.4,"Low",
IF(L971&lt;0.7,"Medium","High"))</f>
        <v>Medium</v>
      </c>
      <c r="X971" s="1" t="str">
        <f>IF(M971&lt;0.2,"Low",
IF(M971&lt;0.4,"Medium","High"))</f>
        <v>Medium</v>
      </c>
      <c r="Y971" s="1" t="str">
        <f>IF(P971&lt;100,"Low",
IF(P971&lt;300,"Medium","High"))</f>
        <v>Medium</v>
      </c>
    </row>
    <row r="972" spans="1:25" x14ac:dyDescent="0.3">
      <c r="A972">
        <v>980</v>
      </c>
      <c r="B972" s="2">
        <v>40587</v>
      </c>
      <c r="C972">
        <v>1</v>
      </c>
      <c r="D972">
        <v>0</v>
      </c>
      <c r="E972">
        <v>2</v>
      </c>
      <c r="F972">
        <v>11</v>
      </c>
      <c r="G972" t="b">
        <v>0</v>
      </c>
      <c r="H972">
        <v>0</v>
      </c>
      <c r="I972">
        <v>1</v>
      </c>
      <c r="J972">
        <v>0.32</v>
      </c>
      <c r="K972">
        <v>0.28789999999999999</v>
      </c>
      <c r="L972">
        <v>0.39</v>
      </c>
      <c r="M972">
        <v>0.44779999999999998</v>
      </c>
      <c r="N972">
        <v>26</v>
      </c>
      <c r="O972">
        <v>86</v>
      </c>
      <c r="P972">
        <v>112</v>
      </c>
      <c r="Q972" t="str">
        <f>VLOOKUP(MasterData[[#This Row],[season]],[1]Lookup!$A$2:$B$5,2,FALSE)</f>
        <v>Spring</v>
      </c>
      <c r="R972" t="str">
        <f>TEXT(DATE(2026,E972,1),"mmmm")</f>
        <v>February</v>
      </c>
      <c r="S972" t="str">
        <f>IF(OR(H972=0,H972=6),"Weekend","Weekday")</f>
        <v>Weekend</v>
      </c>
      <c r="T972" s="1" t="str">
        <f>VLOOKUP(I972,[1]Lookup!$D$2:$E$5,2,FALSE)</f>
        <v>Clear</v>
      </c>
      <c r="U972" s="1" t="str">
        <f>IF(F972&lt;6,"Night",
IF(F972&lt;12,"Morning",
IF(F972&lt;17,"Afternoon",
IF(F972&lt;21,"Evening","Night"))))</f>
        <v>Morning</v>
      </c>
      <c r="V972" s="1" t="str">
        <f>IF(J972&lt;0.3,"Cold",
IF(J972&lt;0.6,"Pleasant","Hot"))</f>
        <v>Pleasant</v>
      </c>
      <c r="W972" s="1" t="str">
        <f>IF(L972&lt;0.4,"Low",
IF(L972&lt;0.7,"Medium","High"))</f>
        <v>Low</v>
      </c>
      <c r="X972" s="1" t="str">
        <f>IF(M972&lt;0.2,"Low",
IF(M972&lt;0.4,"Medium","High"))</f>
        <v>High</v>
      </c>
      <c r="Y972" s="1" t="str">
        <f>IF(P972&lt;100,"Low",
IF(P972&lt;300,"Medium","High"))</f>
        <v>Medium</v>
      </c>
    </row>
    <row r="973" spans="1:25" x14ac:dyDescent="0.3">
      <c r="A973">
        <v>981</v>
      </c>
      <c r="B973" s="2">
        <v>40587</v>
      </c>
      <c r="C973">
        <v>1</v>
      </c>
      <c r="D973">
        <v>0</v>
      </c>
      <c r="E973">
        <v>2</v>
      </c>
      <c r="F973">
        <v>12</v>
      </c>
      <c r="G973" t="b">
        <v>0</v>
      </c>
      <c r="H973">
        <v>0</v>
      </c>
      <c r="I973">
        <v>1</v>
      </c>
      <c r="J973">
        <v>0.36</v>
      </c>
      <c r="K973">
        <v>0.31819999999999998</v>
      </c>
      <c r="L973">
        <v>0.32</v>
      </c>
      <c r="M973">
        <v>0.4627</v>
      </c>
      <c r="N973">
        <v>58</v>
      </c>
      <c r="O973">
        <v>94</v>
      </c>
      <c r="P973">
        <v>152</v>
      </c>
      <c r="Q973" t="str">
        <f>VLOOKUP(MasterData[[#This Row],[season]],[1]Lookup!$A$2:$B$5,2,FALSE)</f>
        <v>Spring</v>
      </c>
      <c r="R973" t="str">
        <f>TEXT(DATE(2026,E973,1),"mmmm")</f>
        <v>February</v>
      </c>
      <c r="S973" t="str">
        <f>IF(OR(H973=0,H973=6),"Weekend","Weekday")</f>
        <v>Weekend</v>
      </c>
      <c r="T973" s="1" t="str">
        <f>VLOOKUP(I973,[1]Lookup!$D$2:$E$5,2,FALSE)</f>
        <v>Clear</v>
      </c>
      <c r="U973" s="1" t="str">
        <f>IF(F973&lt;6,"Night",
IF(F973&lt;12,"Morning",
IF(F973&lt;17,"Afternoon",
IF(F973&lt;21,"Evening","Night"))))</f>
        <v>Afternoon</v>
      </c>
      <c r="V973" s="1" t="str">
        <f>IF(J973&lt;0.3,"Cold",
IF(J973&lt;0.6,"Pleasant","Hot"))</f>
        <v>Pleasant</v>
      </c>
      <c r="W973" s="1" t="str">
        <f>IF(L973&lt;0.4,"Low",
IF(L973&lt;0.7,"Medium","High"))</f>
        <v>Low</v>
      </c>
      <c r="X973" s="1" t="str">
        <f>IF(M973&lt;0.2,"Low",
IF(M973&lt;0.4,"Medium","High"))</f>
        <v>High</v>
      </c>
      <c r="Y973" s="1" t="str">
        <f>IF(P973&lt;100,"Low",
IF(P973&lt;300,"Medium","High"))</f>
        <v>Medium</v>
      </c>
    </row>
    <row r="974" spans="1:25" x14ac:dyDescent="0.3">
      <c r="A974">
        <v>982</v>
      </c>
      <c r="B974" s="2">
        <v>40587</v>
      </c>
      <c r="C974">
        <v>1</v>
      </c>
      <c r="D974">
        <v>0</v>
      </c>
      <c r="E974">
        <v>2</v>
      </c>
      <c r="F974">
        <v>13</v>
      </c>
      <c r="G974" t="b">
        <v>0</v>
      </c>
      <c r="H974">
        <v>0</v>
      </c>
      <c r="I974">
        <v>1</v>
      </c>
      <c r="J974">
        <v>0.38</v>
      </c>
      <c r="K974">
        <v>0.39389999999999997</v>
      </c>
      <c r="L974">
        <v>0.28999999999999998</v>
      </c>
      <c r="M974">
        <v>0.35820000000000002</v>
      </c>
      <c r="N974">
        <v>62</v>
      </c>
      <c r="O974">
        <v>92</v>
      </c>
      <c r="P974">
        <v>154</v>
      </c>
      <c r="Q974" t="str">
        <f>VLOOKUP(MasterData[[#This Row],[season]],[1]Lookup!$A$2:$B$5,2,FALSE)</f>
        <v>Spring</v>
      </c>
      <c r="R974" t="str">
        <f>TEXT(DATE(2026,E974,1),"mmmm")</f>
        <v>February</v>
      </c>
      <c r="S974" t="str">
        <f>IF(OR(H974=0,H974=6),"Weekend","Weekday")</f>
        <v>Weekend</v>
      </c>
      <c r="T974" s="1" t="str">
        <f>VLOOKUP(I974,[1]Lookup!$D$2:$E$5,2,FALSE)</f>
        <v>Clear</v>
      </c>
      <c r="U974" s="1" t="str">
        <f>IF(F974&lt;6,"Night",
IF(F974&lt;12,"Morning",
IF(F974&lt;17,"Afternoon",
IF(F974&lt;21,"Evening","Night"))))</f>
        <v>Afternoon</v>
      </c>
      <c r="V974" s="1" t="str">
        <f>IF(J974&lt;0.3,"Cold",
IF(J974&lt;0.6,"Pleasant","Hot"))</f>
        <v>Pleasant</v>
      </c>
      <c r="W974" s="1" t="str">
        <f>IF(L974&lt;0.4,"Low",
IF(L974&lt;0.7,"Medium","High"))</f>
        <v>Low</v>
      </c>
      <c r="X974" s="1" t="str">
        <f>IF(M974&lt;0.2,"Low",
IF(M974&lt;0.4,"Medium","High"))</f>
        <v>Medium</v>
      </c>
      <c r="Y974" s="1" t="str">
        <f>IF(P974&lt;100,"Low",
IF(P974&lt;300,"Medium","High"))</f>
        <v>Medium</v>
      </c>
    </row>
    <row r="975" spans="1:25" x14ac:dyDescent="0.3">
      <c r="A975">
        <v>983</v>
      </c>
      <c r="B975" s="2">
        <v>40587</v>
      </c>
      <c r="C975">
        <v>1</v>
      </c>
      <c r="D975">
        <v>0</v>
      </c>
      <c r="E975">
        <v>2</v>
      </c>
      <c r="F975">
        <v>14</v>
      </c>
      <c r="G975" t="b">
        <v>0</v>
      </c>
      <c r="H975">
        <v>0</v>
      </c>
      <c r="I975">
        <v>2</v>
      </c>
      <c r="J975">
        <v>0.4</v>
      </c>
      <c r="K975">
        <v>0.40910000000000002</v>
      </c>
      <c r="L975">
        <v>0.3</v>
      </c>
      <c r="M975">
        <v>0.41789999999999999</v>
      </c>
      <c r="N975">
        <v>51</v>
      </c>
      <c r="O975">
        <v>110</v>
      </c>
      <c r="P975">
        <v>161</v>
      </c>
      <c r="Q975" t="str">
        <f>VLOOKUP(MasterData[[#This Row],[season]],[1]Lookup!$A$2:$B$5,2,FALSE)</f>
        <v>Spring</v>
      </c>
      <c r="R975" t="str">
        <f>TEXT(DATE(2026,E975,1),"mmmm")</f>
        <v>February</v>
      </c>
      <c r="S975" t="str">
        <f>IF(OR(H975=0,H975=6),"Weekend","Weekday")</f>
        <v>Weekend</v>
      </c>
      <c r="T975" s="1" t="str">
        <f>VLOOKUP(I975,[1]Lookup!$D$2:$E$5,2,FALSE)</f>
        <v>Mist / Cloudy</v>
      </c>
      <c r="U975" s="1" t="str">
        <f>IF(F975&lt;6,"Night",
IF(F975&lt;12,"Morning",
IF(F975&lt;17,"Afternoon",
IF(F975&lt;21,"Evening","Night"))))</f>
        <v>Afternoon</v>
      </c>
      <c r="V975" s="1" t="str">
        <f>IF(J975&lt;0.3,"Cold",
IF(J975&lt;0.6,"Pleasant","Hot"))</f>
        <v>Pleasant</v>
      </c>
      <c r="W975" s="1" t="str">
        <f>IF(L975&lt;0.4,"Low",
IF(L975&lt;0.7,"Medium","High"))</f>
        <v>Low</v>
      </c>
      <c r="X975" s="1" t="str">
        <f>IF(M975&lt;0.2,"Low",
IF(M975&lt;0.4,"Medium","High"))</f>
        <v>High</v>
      </c>
      <c r="Y975" s="1" t="str">
        <f>IF(P975&lt;100,"Low",
IF(P975&lt;300,"Medium","High"))</f>
        <v>Medium</v>
      </c>
    </row>
    <row r="976" spans="1:25" x14ac:dyDescent="0.3">
      <c r="A976">
        <v>984</v>
      </c>
      <c r="B976" s="2">
        <v>40587</v>
      </c>
      <c r="C976">
        <v>1</v>
      </c>
      <c r="D976">
        <v>0</v>
      </c>
      <c r="E976">
        <v>2</v>
      </c>
      <c r="F976">
        <v>15</v>
      </c>
      <c r="G976" t="b">
        <v>0</v>
      </c>
      <c r="H976">
        <v>0</v>
      </c>
      <c r="I976">
        <v>2</v>
      </c>
      <c r="J976">
        <v>0.4</v>
      </c>
      <c r="K976">
        <v>0.40910000000000002</v>
      </c>
      <c r="L976">
        <v>0.3</v>
      </c>
      <c r="M976">
        <v>0.29849999999999999</v>
      </c>
      <c r="N976">
        <v>40</v>
      </c>
      <c r="O976">
        <v>122</v>
      </c>
      <c r="P976">
        <v>162</v>
      </c>
      <c r="Q976" t="str">
        <f>VLOOKUP(MasterData[[#This Row],[season]],[1]Lookup!$A$2:$B$5,2,FALSE)</f>
        <v>Spring</v>
      </c>
      <c r="R976" t="str">
        <f>TEXT(DATE(2026,E976,1),"mmmm")</f>
        <v>February</v>
      </c>
      <c r="S976" t="str">
        <f>IF(OR(H976=0,H976=6),"Weekend","Weekday")</f>
        <v>Weekend</v>
      </c>
      <c r="T976" s="1" t="str">
        <f>VLOOKUP(I976,[1]Lookup!$D$2:$E$5,2,FALSE)</f>
        <v>Mist / Cloudy</v>
      </c>
      <c r="U976" s="1" t="str">
        <f>IF(F976&lt;6,"Night",
IF(F976&lt;12,"Morning",
IF(F976&lt;17,"Afternoon",
IF(F976&lt;21,"Evening","Night"))))</f>
        <v>Afternoon</v>
      </c>
      <c r="V976" s="1" t="str">
        <f>IF(J976&lt;0.3,"Cold",
IF(J976&lt;0.6,"Pleasant","Hot"))</f>
        <v>Pleasant</v>
      </c>
      <c r="W976" s="1" t="str">
        <f>IF(L976&lt;0.4,"Low",
IF(L976&lt;0.7,"Medium","High"))</f>
        <v>Low</v>
      </c>
      <c r="X976" s="1" t="str">
        <f>IF(M976&lt;0.2,"Low",
IF(M976&lt;0.4,"Medium","High"))</f>
        <v>Medium</v>
      </c>
      <c r="Y976" s="1" t="str">
        <f>IF(P976&lt;100,"Low",
IF(P976&lt;300,"Medium","High"))</f>
        <v>Medium</v>
      </c>
    </row>
    <row r="977" spans="1:25" x14ac:dyDescent="0.3">
      <c r="A977">
        <v>985</v>
      </c>
      <c r="B977" s="2">
        <v>40587</v>
      </c>
      <c r="C977">
        <v>1</v>
      </c>
      <c r="D977">
        <v>0</v>
      </c>
      <c r="E977">
        <v>2</v>
      </c>
      <c r="F977">
        <v>16</v>
      </c>
      <c r="G977" t="b">
        <v>0</v>
      </c>
      <c r="H977">
        <v>0</v>
      </c>
      <c r="I977">
        <v>2</v>
      </c>
      <c r="J977">
        <v>0.42</v>
      </c>
      <c r="K977">
        <v>0.42420000000000002</v>
      </c>
      <c r="L977">
        <v>0.28000000000000003</v>
      </c>
      <c r="M977">
        <v>0.32840000000000003</v>
      </c>
      <c r="N977">
        <v>28</v>
      </c>
      <c r="O977">
        <v>106</v>
      </c>
      <c r="P977">
        <v>134</v>
      </c>
      <c r="Q977" t="str">
        <f>VLOOKUP(MasterData[[#This Row],[season]],[1]Lookup!$A$2:$B$5,2,FALSE)</f>
        <v>Spring</v>
      </c>
      <c r="R977" t="str">
        <f>TEXT(DATE(2026,E977,1),"mmmm")</f>
        <v>February</v>
      </c>
      <c r="S977" t="str">
        <f>IF(OR(H977=0,H977=6),"Weekend","Weekday")</f>
        <v>Weekend</v>
      </c>
      <c r="T977" s="1" t="str">
        <f>VLOOKUP(I977,[1]Lookup!$D$2:$E$5,2,FALSE)</f>
        <v>Mist / Cloudy</v>
      </c>
      <c r="U977" s="1" t="str">
        <f>IF(F977&lt;6,"Night",
IF(F977&lt;12,"Morning",
IF(F977&lt;17,"Afternoon",
IF(F977&lt;21,"Evening","Night"))))</f>
        <v>Afternoon</v>
      </c>
      <c r="V977" s="1" t="str">
        <f>IF(J977&lt;0.3,"Cold",
IF(J977&lt;0.6,"Pleasant","Hot"))</f>
        <v>Pleasant</v>
      </c>
      <c r="W977" s="1" t="str">
        <f>IF(L977&lt;0.4,"Low",
IF(L977&lt;0.7,"Medium","High"))</f>
        <v>Low</v>
      </c>
      <c r="X977" s="1" t="str">
        <f>IF(M977&lt;0.2,"Low",
IF(M977&lt;0.4,"Medium","High"))</f>
        <v>Medium</v>
      </c>
      <c r="Y977" s="1" t="str">
        <f>IF(P977&lt;100,"Low",
IF(P977&lt;300,"Medium","High"))</f>
        <v>Medium</v>
      </c>
    </row>
    <row r="978" spans="1:25" x14ac:dyDescent="0.3">
      <c r="A978">
        <v>986</v>
      </c>
      <c r="B978" s="2">
        <v>40587</v>
      </c>
      <c r="C978">
        <v>1</v>
      </c>
      <c r="D978">
        <v>0</v>
      </c>
      <c r="E978">
        <v>2</v>
      </c>
      <c r="F978">
        <v>17</v>
      </c>
      <c r="G978" t="b">
        <v>0</v>
      </c>
      <c r="H978">
        <v>0</v>
      </c>
      <c r="I978">
        <v>1</v>
      </c>
      <c r="J978">
        <v>0.42</v>
      </c>
      <c r="K978">
        <v>0.42420000000000002</v>
      </c>
      <c r="L978">
        <v>0.28000000000000003</v>
      </c>
      <c r="M978">
        <v>0.32840000000000003</v>
      </c>
      <c r="N978">
        <v>30</v>
      </c>
      <c r="O978">
        <v>95</v>
      </c>
      <c r="P978">
        <v>125</v>
      </c>
      <c r="Q978" t="str">
        <f>VLOOKUP(MasterData[[#This Row],[season]],[1]Lookup!$A$2:$B$5,2,FALSE)</f>
        <v>Spring</v>
      </c>
      <c r="R978" t="str">
        <f>TEXT(DATE(2026,E978,1),"mmmm")</f>
        <v>February</v>
      </c>
      <c r="S978" t="str">
        <f>IF(OR(H978=0,H978=6),"Weekend","Weekday")</f>
        <v>Weekend</v>
      </c>
      <c r="T978" s="1" t="str">
        <f>VLOOKUP(I978,[1]Lookup!$D$2:$E$5,2,FALSE)</f>
        <v>Clear</v>
      </c>
      <c r="U978" s="1" t="str">
        <f>IF(F978&lt;6,"Night",
IF(F978&lt;12,"Morning",
IF(F978&lt;17,"Afternoon",
IF(F978&lt;21,"Evening","Night"))))</f>
        <v>Evening</v>
      </c>
      <c r="V978" s="1" t="str">
        <f>IF(J978&lt;0.3,"Cold",
IF(J978&lt;0.6,"Pleasant","Hot"))</f>
        <v>Pleasant</v>
      </c>
      <c r="W978" s="1" t="str">
        <f>IF(L978&lt;0.4,"Low",
IF(L978&lt;0.7,"Medium","High"))</f>
        <v>Low</v>
      </c>
      <c r="X978" s="1" t="str">
        <f>IF(M978&lt;0.2,"Low",
IF(M978&lt;0.4,"Medium","High"))</f>
        <v>Medium</v>
      </c>
      <c r="Y978" s="1" t="str">
        <f>IF(P978&lt;100,"Low",
IF(P978&lt;300,"Medium","High"))</f>
        <v>Medium</v>
      </c>
    </row>
    <row r="979" spans="1:25" x14ac:dyDescent="0.3">
      <c r="A979">
        <v>987</v>
      </c>
      <c r="B979" s="2">
        <v>40587</v>
      </c>
      <c r="C979">
        <v>1</v>
      </c>
      <c r="D979">
        <v>0</v>
      </c>
      <c r="E979">
        <v>2</v>
      </c>
      <c r="F979">
        <v>18</v>
      </c>
      <c r="G979" t="b">
        <v>0</v>
      </c>
      <c r="H979">
        <v>0</v>
      </c>
      <c r="I979">
        <v>1</v>
      </c>
      <c r="J979">
        <v>0.4</v>
      </c>
      <c r="K979">
        <v>0.40910000000000002</v>
      </c>
      <c r="L979">
        <v>0.32</v>
      </c>
      <c r="M979">
        <v>0.29849999999999999</v>
      </c>
      <c r="N979">
        <v>17</v>
      </c>
      <c r="O979">
        <v>78</v>
      </c>
      <c r="P979">
        <v>95</v>
      </c>
      <c r="Q979" t="str">
        <f>VLOOKUP(MasterData[[#This Row],[season]],[1]Lookup!$A$2:$B$5,2,FALSE)</f>
        <v>Spring</v>
      </c>
      <c r="R979" t="str">
        <f>TEXT(DATE(2026,E979,1),"mmmm")</f>
        <v>February</v>
      </c>
      <c r="S979" t="str">
        <f>IF(OR(H979=0,H979=6),"Weekend","Weekday")</f>
        <v>Weekend</v>
      </c>
      <c r="T979" s="1" t="str">
        <f>VLOOKUP(I979,[1]Lookup!$D$2:$E$5,2,FALSE)</f>
        <v>Clear</v>
      </c>
      <c r="U979" s="1" t="str">
        <f>IF(F979&lt;6,"Night",
IF(F979&lt;12,"Morning",
IF(F979&lt;17,"Afternoon",
IF(F979&lt;21,"Evening","Night"))))</f>
        <v>Evening</v>
      </c>
      <c r="V979" s="1" t="str">
        <f>IF(J979&lt;0.3,"Cold",
IF(J979&lt;0.6,"Pleasant","Hot"))</f>
        <v>Pleasant</v>
      </c>
      <c r="W979" s="1" t="str">
        <f>IF(L979&lt;0.4,"Low",
IF(L979&lt;0.7,"Medium","High"))</f>
        <v>Low</v>
      </c>
      <c r="X979" s="1" t="str">
        <f>IF(M979&lt;0.2,"Low",
IF(M979&lt;0.4,"Medium","High"))</f>
        <v>Medium</v>
      </c>
      <c r="Y979" s="1" t="str">
        <f>IF(P979&lt;100,"Low",
IF(P979&lt;300,"Medium","High"))</f>
        <v>Low</v>
      </c>
    </row>
    <row r="980" spans="1:25" x14ac:dyDescent="0.3">
      <c r="A980">
        <v>988</v>
      </c>
      <c r="B980" s="2">
        <v>40587</v>
      </c>
      <c r="C980">
        <v>1</v>
      </c>
      <c r="D980">
        <v>0</v>
      </c>
      <c r="E980">
        <v>2</v>
      </c>
      <c r="F980">
        <v>19</v>
      </c>
      <c r="G980" t="b">
        <v>0</v>
      </c>
      <c r="H980">
        <v>0</v>
      </c>
      <c r="I980">
        <v>1</v>
      </c>
      <c r="J980">
        <v>0.4</v>
      </c>
      <c r="K980">
        <v>0.40910000000000002</v>
      </c>
      <c r="L980">
        <v>0.35</v>
      </c>
      <c r="M980">
        <v>0.28360000000000002</v>
      </c>
      <c r="N980">
        <v>11</v>
      </c>
      <c r="O980">
        <v>50</v>
      </c>
      <c r="P980">
        <v>61</v>
      </c>
      <c r="Q980" t="str">
        <f>VLOOKUP(MasterData[[#This Row],[season]],[1]Lookup!$A$2:$B$5,2,FALSE)</f>
        <v>Spring</v>
      </c>
      <c r="R980" t="str">
        <f>TEXT(DATE(2026,E980,1),"mmmm")</f>
        <v>February</v>
      </c>
      <c r="S980" t="str">
        <f>IF(OR(H980=0,H980=6),"Weekend","Weekday")</f>
        <v>Weekend</v>
      </c>
      <c r="T980" s="1" t="str">
        <f>VLOOKUP(I980,[1]Lookup!$D$2:$E$5,2,FALSE)</f>
        <v>Clear</v>
      </c>
      <c r="U980" s="1" t="str">
        <f>IF(F980&lt;6,"Night",
IF(F980&lt;12,"Morning",
IF(F980&lt;17,"Afternoon",
IF(F980&lt;21,"Evening","Night"))))</f>
        <v>Evening</v>
      </c>
      <c r="V980" s="1" t="str">
        <f>IF(J980&lt;0.3,"Cold",
IF(J980&lt;0.6,"Pleasant","Hot"))</f>
        <v>Pleasant</v>
      </c>
      <c r="W980" s="1" t="str">
        <f>IF(L980&lt;0.4,"Low",
IF(L980&lt;0.7,"Medium","High"))</f>
        <v>Low</v>
      </c>
      <c r="X980" s="1" t="str">
        <f>IF(M980&lt;0.2,"Low",
IF(M980&lt;0.4,"Medium","High"))</f>
        <v>Medium</v>
      </c>
      <c r="Y980" s="1" t="str">
        <f>IF(P980&lt;100,"Low",
IF(P980&lt;300,"Medium","High"))</f>
        <v>Low</v>
      </c>
    </row>
    <row r="981" spans="1:25" x14ac:dyDescent="0.3">
      <c r="A981">
        <v>989</v>
      </c>
      <c r="B981" s="2">
        <v>40587</v>
      </c>
      <c r="C981">
        <v>1</v>
      </c>
      <c r="D981">
        <v>0</v>
      </c>
      <c r="E981">
        <v>2</v>
      </c>
      <c r="F981">
        <v>20</v>
      </c>
      <c r="G981" t="b">
        <v>0</v>
      </c>
      <c r="H981">
        <v>0</v>
      </c>
      <c r="I981">
        <v>1</v>
      </c>
      <c r="J981">
        <v>0.4</v>
      </c>
      <c r="K981">
        <v>0.40910000000000002</v>
      </c>
      <c r="L981">
        <v>0.35</v>
      </c>
      <c r="M981">
        <v>0.32840000000000003</v>
      </c>
      <c r="N981">
        <v>15</v>
      </c>
      <c r="O981">
        <v>32</v>
      </c>
      <c r="P981">
        <v>47</v>
      </c>
      <c r="Q981" t="str">
        <f>VLOOKUP(MasterData[[#This Row],[season]],[1]Lookup!$A$2:$B$5,2,FALSE)</f>
        <v>Spring</v>
      </c>
      <c r="R981" t="str">
        <f>TEXT(DATE(2026,E981,1),"mmmm")</f>
        <v>February</v>
      </c>
      <c r="S981" t="str">
        <f>IF(OR(H981=0,H981=6),"Weekend","Weekday")</f>
        <v>Weekend</v>
      </c>
      <c r="T981" s="1" t="str">
        <f>VLOOKUP(I981,[1]Lookup!$D$2:$E$5,2,FALSE)</f>
        <v>Clear</v>
      </c>
      <c r="U981" s="1" t="str">
        <f>IF(F981&lt;6,"Night",
IF(F981&lt;12,"Morning",
IF(F981&lt;17,"Afternoon",
IF(F981&lt;21,"Evening","Night"))))</f>
        <v>Evening</v>
      </c>
      <c r="V981" s="1" t="str">
        <f>IF(J981&lt;0.3,"Cold",
IF(J981&lt;0.6,"Pleasant","Hot"))</f>
        <v>Pleasant</v>
      </c>
      <c r="W981" s="1" t="str">
        <f>IF(L981&lt;0.4,"Low",
IF(L981&lt;0.7,"Medium","High"))</f>
        <v>Low</v>
      </c>
      <c r="X981" s="1" t="str">
        <f>IF(M981&lt;0.2,"Low",
IF(M981&lt;0.4,"Medium","High"))</f>
        <v>Medium</v>
      </c>
      <c r="Y981" s="1" t="str">
        <f>IF(P981&lt;100,"Low",
IF(P981&lt;300,"Medium","High"))</f>
        <v>Low</v>
      </c>
    </row>
    <row r="982" spans="1:25" x14ac:dyDescent="0.3">
      <c r="A982">
        <v>990</v>
      </c>
      <c r="B982" s="2">
        <v>40587</v>
      </c>
      <c r="C982">
        <v>1</v>
      </c>
      <c r="D982">
        <v>0</v>
      </c>
      <c r="E982">
        <v>2</v>
      </c>
      <c r="F982">
        <v>21</v>
      </c>
      <c r="G982" t="b">
        <v>0</v>
      </c>
      <c r="H982">
        <v>0</v>
      </c>
      <c r="I982">
        <v>1</v>
      </c>
      <c r="J982">
        <v>0.4</v>
      </c>
      <c r="K982">
        <v>0.40910000000000002</v>
      </c>
      <c r="L982">
        <v>0.35</v>
      </c>
      <c r="M982">
        <v>0.35820000000000002</v>
      </c>
      <c r="N982">
        <v>6</v>
      </c>
      <c r="O982">
        <v>45</v>
      </c>
      <c r="P982">
        <v>51</v>
      </c>
      <c r="Q982" t="str">
        <f>VLOOKUP(MasterData[[#This Row],[season]],[1]Lookup!$A$2:$B$5,2,FALSE)</f>
        <v>Spring</v>
      </c>
      <c r="R982" t="str">
        <f>TEXT(DATE(2026,E982,1),"mmmm")</f>
        <v>February</v>
      </c>
      <c r="S982" t="str">
        <f>IF(OR(H982=0,H982=6),"Weekend","Weekday")</f>
        <v>Weekend</v>
      </c>
      <c r="T982" s="1" t="str">
        <f>VLOOKUP(I982,[1]Lookup!$D$2:$E$5,2,FALSE)</f>
        <v>Clear</v>
      </c>
      <c r="U982" s="1" t="str">
        <f>IF(F982&lt;6,"Night",
IF(F982&lt;12,"Morning",
IF(F982&lt;17,"Afternoon",
IF(F982&lt;21,"Evening","Night"))))</f>
        <v>Night</v>
      </c>
      <c r="V982" s="1" t="str">
        <f>IF(J982&lt;0.3,"Cold",
IF(J982&lt;0.6,"Pleasant","Hot"))</f>
        <v>Pleasant</v>
      </c>
      <c r="W982" s="1" t="str">
        <f>IF(L982&lt;0.4,"Low",
IF(L982&lt;0.7,"Medium","High"))</f>
        <v>Low</v>
      </c>
      <c r="X982" s="1" t="str">
        <f>IF(M982&lt;0.2,"Low",
IF(M982&lt;0.4,"Medium","High"))</f>
        <v>Medium</v>
      </c>
      <c r="Y982" s="1" t="str">
        <f>IF(P982&lt;100,"Low",
IF(P982&lt;300,"Medium","High"))</f>
        <v>Low</v>
      </c>
    </row>
    <row r="983" spans="1:25" x14ac:dyDescent="0.3">
      <c r="A983">
        <v>991</v>
      </c>
      <c r="B983" s="2">
        <v>40587</v>
      </c>
      <c r="C983">
        <v>1</v>
      </c>
      <c r="D983">
        <v>0</v>
      </c>
      <c r="E983">
        <v>2</v>
      </c>
      <c r="F983">
        <v>22</v>
      </c>
      <c r="G983" t="b">
        <v>0</v>
      </c>
      <c r="H983">
        <v>0</v>
      </c>
      <c r="I983">
        <v>1</v>
      </c>
      <c r="J983">
        <v>0.4</v>
      </c>
      <c r="K983">
        <v>0.40910000000000002</v>
      </c>
      <c r="L983">
        <v>0.35</v>
      </c>
      <c r="M983">
        <v>0.29849999999999999</v>
      </c>
      <c r="N983">
        <v>5</v>
      </c>
      <c r="O983">
        <v>31</v>
      </c>
      <c r="P983">
        <v>36</v>
      </c>
      <c r="Q983" t="str">
        <f>VLOOKUP(MasterData[[#This Row],[season]],[1]Lookup!$A$2:$B$5,2,FALSE)</f>
        <v>Spring</v>
      </c>
      <c r="R983" t="str">
        <f>TEXT(DATE(2026,E983,1),"mmmm")</f>
        <v>February</v>
      </c>
      <c r="S983" t="str">
        <f>IF(OR(H983=0,H983=6),"Weekend","Weekday")</f>
        <v>Weekend</v>
      </c>
      <c r="T983" s="1" t="str">
        <f>VLOOKUP(I983,[1]Lookup!$D$2:$E$5,2,FALSE)</f>
        <v>Clear</v>
      </c>
      <c r="U983" s="1" t="str">
        <f>IF(F983&lt;6,"Night",
IF(F983&lt;12,"Morning",
IF(F983&lt;17,"Afternoon",
IF(F983&lt;21,"Evening","Night"))))</f>
        <v>Night</v>
      </c>
      <c r="V983" s="1" t="str">
        <f>IF(J983&lt;0.3,"Cold",
IF(J983&lt;0.6,"Pleasant","Hot"))</f>
        <v>Pleasant</v>
      </c>
      <c r="W983" s="1" t="str">
        <f>IF(L983&lt;0.4,"Low",
IF(L983&lt;0.7,"Medium","High"))</f>
        <v>Low</v>
      </c>
      <c r="X983" s="1" t="str">
        <f>IF(M983&lt;0.2,"Low",
IF(M983&lt;0.4,"Medium","High"))</f>
        <v>Medium</v>
      </c>
      <c r="Y983" s="1" t="str">
        <f>IF(P983&lt;100,"Low",
IF(P983&lt;300,"Medium","High"))</f>
        <v>Low</v>
      </c>
    </row>
    <row r="984" spans="1:25" x14ac:dyDescent="0.3">
      <c r="A984">
        <v>992</v>
      </c>
      <c r="B984" s="2">
        <v>40587</v>
      </c>
      <c r="C984">
        <v>1</v>
      </c>
      <c r="D984">
        <v>0</v>
      </c>
      <c r="E984">
        <v>2</v>
      </c>
      <c r="F984">
        <v>23</v>
      </c>
      <c r="G984" t="b">
        <v>0</v>
      </c>
      <c r="H984">
        <v>0</v>
      </c>
      <c r="I984">
        <v>1</v>
      </c>
      <c r="J984">
        <v>0.4</v>
      </c>
      <c r="K984">
        <v>0.40910000000000002</v>
      </c>
      <c r="L984">
        <v>0.35</v>
      </c>
      <c r="M984">
        <v>0.35820000000000002</v>
      </c>
      <c r="N984">
        <v>3</v>
      </c>
      <c r="O984">
        <v>27</v>
      </c>
      <c r="P984">
        <v>30</v>
      </c>
      <c r="Q984" t="str">
        <f>VLOOKUP(MasterData[[#This Row],[season]],[1]Lookup!$A$2:$B$5,2,FALSE)</f>
        <v>Spring</v>
      </c>
      <c r="R984" t="str">
        <f>TEXT(DATE(2026,E984,1),"mmmm")</f>
        <v>February</v>
      </c>
      <c r="S984" t="str">
        <f>IF(OR(H984=0,H984=6),"Weekend","Weekday")</f>
        <v>Weekend</v>
      </c>
      <c r="T984" s="1" t="str">
        <f>VLOOKUP(I984,[1]Lookup!$D$2:$E$5,2,FALSE)</f>
        <v>Clear</v>
      </c>
      <c r="U984" s="1" t="str">
        <f>IF(F984&lt;6,"Night",
IF(F984&lt;12,"Morning",
IF(F984&lt;17,"Afternoon",
IF(F984&lt;21,"Evening","Night"))))</f>
        <v>Night</v>
      </c>
      <c r="V984" s="1" t="str">
        <f>IF(J984&lt;0.3,"Cold",
IF(J984&lt;0.6,"Pleasant","Hot"))</f>
        <v>Pleasant</v>
      </c>
      <c r="W984" s="1" t="str">
        <f>IF(L984&lt;0.4,"Low",
IF(L984&lt;0.7,"Medium","High"))</f>
        <v>Low</v>
      </c>
      <c r="X984" s="1" t="str">
        <f>IF(M984&lt;0.2,"Low",
IF(M984&lt;0.4,"Medium","High"))</f>
        <v>Medium</v>
      </c>
      <c r="Y984" s="1" t="str">
        <f>IF(P984&lt;100,"Low",
IF(P984&lt;300,"Medium","High"))</f>
        <v>Low</v>
      </c>
    </row>
    <row r="985" spans="1:25" x14ac:dyDescent="0.3">
      <c r="A985">
        <v>993</v>
      </c>
      <c r="B985" s="2">
        <v>40588</v>
      </c>
      <c r="C985">
        <v>1</v>
      </c>
      <c r="D985">
        <v>0</v>
      </c>
      <c r="E985">
        <v>2</v>
      </c>
      <c r="F985">
        <v>0</v>
      </c>
      <c r="G985" t="b">
        <v>0</v>
      </c>
      <c r="H985">
        <v>1</v>
      </c>
      <c r="I985">
        <v>1</v>
      </c>
      <c r="J985">
        <v>0.38</v>
      </c>
      <c r="K985">
        <v>0.39389999999999997</v>
      </c>
      <c r="L985">
        <v>0.37</v>
      </c>
      <c r="M985">
        <v>0.35820000000000002</v>
      </c>
      <c r="N985">
        <v>3</v>
      </c>
      <c r="O985">
        <v>8</v>
      </c>
      <c r="P985">
        <v>11</v>
      </c>
      <c r="Q985" t="str">
        <f>VLOOKUP(MasterData[[#This Row],[season]],[1]Lookup!$A$2:$B$5,2,FALSE)</f>
        <v>Spring</v>
      </c>
      <c r="R985" t="str">
        <f>TEXT(DATE(2026,E985,1),"mmmm")</f>
        <v>February</v>
      </c>
      <c r="S985" t="str">
        <f>IF(OR(H985=0,H985=6),"Weekend","Weekday")</f>
        <v>Weekday</v>
      </c>
      <c r="T985" s="1" t="str">
        <f>VLOOKUP(I985,[1]Lookup!$D$2:$E$5,2,FALSE)</f>
        <v>Clear</v>
      </c>
      <c r="U985" s="1" t="str">
        <f>IF(F985&lt;6,"Night",
IF(F985&lt;12,"Morning",
IF(F985&lt;17,"Afternoon",
IF(F985&lt;21,"Evening","Night"))))</f>
        <v>Night</v>
      </c>
      <c r="V985" s="1" t="str">
        <f>IF(J985&lt;0.3,"Cold",
IF(J985&lt;0.6,"Pleasant","Hot"))</f>
        <v>Pleasant</v>
      </c>
      <c r="W985" s="1" t="str">
        <f>IF(L985&lt;0.4,"Low",
IF(L985&lt;0.7,"Medium","High"))</f>
        <v>Low</v>
      </c>
      <c r="X985" s="1" t="str">
        <f>IF(M985&lt;0.2,"Low",
IF(M985&lt;0.4,"Medium","High"))</f>
        <v>Medium</v>
      </c>
      <c r="Y985" s="1" t="str">
        <f>IF(P985&lt;100,"Low",
IF(P985&lt;300,"Medium","High"))</f>
        <v>Low</v>
      </c>
    </row>
    <row r="986" spans="1:25" x14ac:dyDescent="0.3">
      <c r="A986">
        <v>994</v>
      </c>
      <c r="B986" s="2">
        <v>40588</v>
      </c>
      <c r="C986">
        <v>1</v>
      </c>
      <c r="D986">
        <v>0</v>
      </c>
      <c r="E986">
        <v>2</v>
      </c>
      <c r="F986">
        <v>1</v>
      </c>
      <c r="G986" t="b">
        <v>0</v>
      </c>
      <c r="H986">
        <v>1</v>
      </c>
      <c r="I986">
        <v>1</v>
      </c>
      <c r="J986">
        <v>0.38</v>
      </c>
      <c r="K986">
        <v>0.39389999999999997</v>
      </c>
      <c r="L986">
        <v>0.37</v>
      </c>
      <c r="M986">
        <v>0.35820000000000002</v>
      </c>
      <c r="N986">
        <v>1</v>
      </c>
      <c r="O986">
        <v>6</v>
      </c>
      <c r="P986">
        <v>7</v>
      </c>
      <c r="Q986" t="str">
        <f>VLOOKUP(MasterData[[#This Row],[season]],[1]Lookup!$A$2:$B$5,2,FALSE)</f>
        <v>Spring</v>
      </c>
      <c r="R986" t="str">
        <f>TEXT(DATE(2026,E986,1),"mmmm")</f>
        <v>February</v>
      </c>
      <c r="S986" t="str">
        <f>IF(OR(H986=0,H986=6),"Weekend","Weekday")</f>
        <v>Weekday</v>
      </c>
      <c r="T986" s="1" t="str">
        <f>VLOOKUP(I986,[1]Lookup!$D$2:$E$5,2,FALSE)</f>
        <v>Clear</v>
      </c>
      <c r="U986" s="1" t="str">
        <f>IF(F986&lt;6,"Night",
IF(F986&lt;12,"Morning",
IF(F986&lt;17,"Afternoon",
IF(F986&lt;21,"Evening","Night"))))</f>
        <v>Night</v>
      </c>
      <c r="V986" s="1" t="str">
        <f>IF(J986&lt;0.3,"Cold",
IF(J986&lt;0.6,"Pleasant","Hot"))</f>
        <v>Pleasant</v>
      </c>
      <c r="W986" s="1" t="str">
        <f>IF(L986&lt;0.4,"Low",
IF(L986&lt;0.7,"Medium","High"))</f>
        <v>Low</v>
      </c>
      <c r="X986" s="1" t="str">
        <f>IF(M986&lt;0.2,"Low",
IF(M986&lt;0.4,"Medium","High"))</f>
        <v>Medium</v>
      </c>
      <c r="Y986" s="1" t="str">
        <f>IF(P986&lt;100,"Low",
IF(P986&lt;300,"Medium","High"))</f>
        <v>Low</v>
      </c>
    </row>
    <row r="987" spans="1:25" x14ac:dyDescent="0.3">
      <c r="A987">
        <v>995</v>
      </c>
      <c r="B987" s="2">
        <v>40588</v>
      </c>
      <c r="C987">
        <v>1</v>
      </c>
      <c r="D987">
        <v>0</v>
      </c>
      <c r="E987">
        <v>2</v>
      </c>
      <c r="F987">
        <v>2</v>
      </c>
      <c r="G987" t="b">
        <v>0</v>
      </c>
      <c r="H987">
        <v>1</v>
      </c>
      <c r="I987">
        <v>1</v>
      </c>
      <c r="J987">
        <v>0.36</v>
      </c>
      <c r="K987">
        <v>0.33329999999999999</v>
      </c>
      <c r="L987">
        <v>0.4</v>
      </c>
      <c r="M987">
        <v>0.29849999999999999</v>
      </c>
      <c r="N987">
        <v>0</v>
      </c>
      <c r="O987">
        <v>2</v>
      </c>
      <c r="P987">
        <v>2</v>
      </c>
      <c r="Q987" t="str">
        <f>VLOOKUP(MasterData[[#This Row],[season]],[1]Lookup!$A$2:$B$5,2,FALSE)</f>
        <v>Spring</v>
      </c>
      <c r="R987" t="str">
        <f>TEXT(DATE(2026,E987,1),"mmmm")</f>
        <v>February</v>
      </c>
      <c r="S987" t="str">
        <f>IF(OR(H987=0,H987=6),"Weekend","Weekday")</f>
        <v>Weekday</v>
      </c>
      <c r="T987" s="1" t="str">
        <f>VLOOKUP(I987,[1]Lookup!$D$2:$E$5,2,FALSE)</f>
        <v>Clear</v>
      </c>
      <c r="U987" s="1" t="str">
        <f>IF(F987&lt;6,"Night",
IF(F987&lt;12,"Morning",
IF(F987&lt;17,"Afternoon",
IF(F987&lt;21,"Evening","Night"))))</f>
        <v>Night</v>
      </c>
      <c r="V987" s="1" t="str">
        <f>IF(J987&lt;0.3,"Cold",
IF(J987&lt;0.6,"Pleasant","Hot"))</f>
        <v>Pleasant</v>
      </c>
      <c r="W987" s="1" t="str">
        <f>IF(L987&lt;0.4,"Low",
IF(L987&lt;0.7,"Medium","High"))</f>
        <v>Medium</v>
      </c>
      <c r="X987" s="1" t="str">
        <f>IF(M987&lt;0.2,"Low",
IF(M987&lt;0.4,"Medium","High"))</f>
        <v>Medium</v>
      </c>
      <c r="Y987" s="1" t="str">
        <f>IF(P987&lt;100,"Low",
IF(P987&lt;300,"Medium","High"))</f>
        <v>Low</v>
      </c>
    </row>
    <row r="988" spans="1:25" x14ac:dyDescent="0.3">
      <c r="A988">
        <v>996</v>
      </c>
      <c r="B988" s="2">
        <v>40588</v>
      </c>
      <c r="C988">
        <v>1</v>
      </c>
      <c r="D988">
        <v>0</v>
      </c>
      <c r="E988">
        <v>2</v>
      </c>
      <c r="F988">
        <v>3</v>
      </c>
      <c r="G988" t="b">
        <v>0</v>
      </c>
      <c r="H988">
        <v>1</v>
      </c>
      <c r="I988">
        <v>1</v>
      </c>
      <c r="J988">
        <v>0.34</v>
      </c>
      <c r="K988">
        <v>0.31819999999999998</v>
      </c>
      <c r="L988">
        <v>0.46</v>
      </c>
      <c r="M988">
        <v>0.22389999999999999</v>
      </c>
      <c r="N988">
        <v>1</v>
      </c>
      <c r="O988">
        <v>1</v>
      </c>
      <c r="P988">
        <v>2</v>
      </c>
      <c r="Q988" t="str">
        <f>VLOOKUP(MasterData[[#This Row],[season]],[1]Lookup!$A$2:$B$5,2,FALSE)</f>
        <v>Spring</v>
      </c>
      <c r="R988" t="str">
        <f>TEXT(DATE(2026,E988,1),"mmmm")</f>
        <v>February</v>
      </c>
      <c r="S988" t="str">
        <f>IF(OR(H988=0,H988=6),"Weekend","Weekday")</f>
        <v>Weekday</v>
      </c>
      <c r="T988" s="1" t="str">
        <f>VLOOKUP(I988,[1]Lookup!$D$2:$E$5,2,FALSE)</f>
        <v>Clear</v>
      </c>
      <c r="U988" s="1" t="str">
        <f>IF(F988&lt;6,"Night",
IF(F988&lt;12,"Morning",
IF(F988&lt;17,"Afternoon",
IF(F988&lt;21,"Evening","Night"))))</f>
        <v>Night</v>
      </c>
      <c r="V988" s="1" t="str">
        <f>IF(J988&lt;0.3,"Cold",
IF(J988&lt;0.6,"Pleasant","Hot"))</f>
        <v>Pleasant</v>
      </c>
      <c r="W988" s="1" t="str">
        <f>IF(L988&lt;0.4,"Low",
IF(L988&lt;0.7,"Medium","High"))</f>
        <v>Medium</v>
      </c>
      <c r="X988" s="1" t="str">
        <f>IF(M988&lt;0.2,"Low",
IF(M988&lt;0.4,"Medium","High"))</f>
        <v>Medium</v>
      </c>
      <c r="Y988" s="1" t="str">
        <f>IF(P988&lt;100,"Low",
IF(P988&lt;300,"Medium","High"))</f>
        <v>Low</v>
      </c>
    </row>
    <row r="989" spans="1:25" x14ac:dyDescent="0.3">
      <c r="A989">
        <v>997</v>
      </c>
      <c r="B989" s="2">
        <v>40588</v>
      </c>
      <c r="C989">
        <v>1</v>
      </c>
      <c r="D989">
        <v>0</v>
      </c>
      <c r="E989">
        <v>2</v>
      </c>
      <c r="F989">
        <v>4</v>
      </c>
      <c r="G989" t="b">
        <v>0</v>
      </c>
      <c r="H989">
        <v>1</v>
      </c>
      <c r="I989">
        <v>1</v>
      </c>
      <c r="J989">
        <v>0.32</v>
      </c>
      <c r="K989">
        <v>0.30299999999999999</v>
      </c>
      <c r="L989">
        <v>0.53</v>
      </c>
      <c r="M989">
        <v>0.28360000000000002</v>
      </c>
      <c r="N989">
        <v>0</v>
      </c>
      <c r="O989">
        <v>2</v>
      </c>
      <c r="P989">
        <v>2</v>
      </c>
      <c r="Q989" t="str">
        <f>VLOOKUP(MasterData[[#This Row],[season]],[1]Lookup!$A$2:$B$5,2,FALSE)</f>
        <v>Spring</v>
      </c>
      <c r="R989" t="str">
        <f>TEXT(DATE(2026,E989,1),"mmmm")</f>
        <v>February</v>
      </c>
      <c r="S989" t="str">
        <f>IF(OR(H989=0,H989=6),"Weekend","Weekday")</f>
        <v>Weekday</v>
      </c>
      <c r="T989" s="1" t="str">
        <f>VLOOKUP(I989,[1]Lookup!$D$2:$E$5,2,FALSE)</f>
        <v>Clear</v>
      </c>
      <c r="U989" s="1" t="str">
        <f>IF(F989&lt;6,"Night",
IF(F989&lt;12,"Morning",
IF(F989&lt;17,"Afternoon",
IF(F989&lt;21,"Evening","Night"))))</f>
        <v>Night</v>
      </c>
      <c r="V989" s="1" t="str">
        <f>IF(J989&lt;0.3,"Cold",
IF(J989&lt;0.6,"Pleasant","Hot"))</f>
        <v>Pleasant</v>
      </c>
      <c r="W989" s="1" t="str">
        <f>IF(L989&lt;0.4,"Low",
IF(L989&lt;0.7,"Medium","High"))</f>
        <v>Medium</v>
      </c>
      <c r="X989" s="1" t="str">
        <f>IF(M989&lt;0.2,"Low",
IF(M989&lt;0.4,"Medium","High"))</f>
        <v>Medium</v>
      </c>
      <c r="Y989" s="1" t="str">
        <f>IF(P989&lt;100,"Low",
IF(P989&lt;300,"Medium","High"))</f>
        <v>Low</v>
      </c>
    </row>
    <row r="990" spans="1:25" x14ac:dyDescent="0.3">
      <c r="A990">
        <v>998</v>
      </c>
      <c r="B990" s="2">
        <v>40588</v>
      </c>
      <c r="C990">
        <v>1</v>
      </c>
      <c r="D990">
        <v>0</v>
      </c>
      <c r="E990">
        <v>2</v>
      </c>
      <c r="F990">
        <v>5</v>
      </c>
      <c r="G990" t="b">
        <v>0</v>
      </c>
      <c r="H990">
        <v>1</v>
      </c>
      <c r="I990">
        <v>1</v>
      </c>
      <c r="J990">
        <v>0.32</v>
      </c>
      <c r="K990">
        <v>0.30299999999999999</v>
      </c>
      <c r="L990">
        <v>0.53</v>
      </c>
      <c r="M990">
        <v>0.28360000000000002</v>
      </c>
      <c r="N990">
        <v>0</v>
      </c>
      <c r="O990">
        <v>3</v>
      </c>
      <c r="P990">
        <v>3</v>
      </c>
      <c r="Q990" t="str">
        <f>VLOOKUP(MasterData[[#This Row],[season]],[1]Lookup!$A$2:$B$5,2,FALSE)</f>
        <v>Spring</v>
      </c>
      <c r="R990" t="str">
        <f>TEXT(DATE(2026,E990,1),"mmmm")</f>
        <v>February</v>
      </c>
      <c r="S990" t="str">
        <f>IF(OR(H990=0,H990=6),"Weekend","Weekday")</f>
        <v>Weekday</v>
      </c>
      <c r="T990" s="1" t="str">
        <f>VLOOKUP(I990,[1]Lookup!$D$2:$E$5,2,FALSE)</f>
        <v>Clear</v>
      </c>
      <c r="U990" s="1" t="str">
        <f>IF(F990&lt;6,"Night",
IF(F990&lt;12,"Morning",
IF(F990&lt;17,"Afternoon",
IF(F990&lt;21,"Evening","Night"))))</f>
        <v>Night</v>
      </c>
      <c r="V990" s="1" t="str">
        <f>IF(J990&lt;0.3,"Cold",
IF(J990&lt;0.6,"Pleasant","Hot"))</f>
        <v>Pleasant</v>
      </c>
      <c r="W990" s="1" t="str">
        <f>IF(L990&lt;0.4,"Low",
IF(L990&lt;0.7,"Medium","High"))</f>
        <v>Medium</v>
      </c>
      <c r="X990" s="1" t="str">
        <f>IF(M990&lt;0.2,"Low",
IF(M990&lt;0.4,"Medium","High"))</f>
        <v>Medium</v>
      </c>
      <c r="Y990" s="1" t="str">
        <f>IF(P990&lt;100,"Low",
IF(P990&lt;300,"Medium","High"))</f>
        <v>Low</v>
      </c>
    </row>
    <row r="991" spans="1:25" x14ac:dyDescent="0.3">
      <c r="A991">
        <v>999</v>
      </c>
      <c r="B991" s="2">
        <v>40588</v>
      </c>
      <c r="C991">
        <v>1</v>
      </c>
      <c r="D991">
        <v>0</v>
      </c>
      <c r="E991">
        <v>2</v>
      </c>
      <c r="F991">
        <v>6</v>
      </c>
      <c r="G991" t="b">
        <v>0</v>
      </c>
      <c r="H991">
        <v>1</v>
      </c>
      <c r="I991">
        <v>1</v>
      </c>
      <c r="J991">
        <v>0.34</v>
      </c>
      <c r="K991">
        <v>0.30299999999999999</v>
      </c>
      <c r="L991">
        <v>0.46</v>
      </c>
      <c r="M991">
        <v>0.29849999999999999</v>
      </c>
      <c r="N991">
        <v>1</v>
      </c>
      <c r="O991">
        <v>25</v>
      </c>
      <c r="P991">
        <v>26</v>
      </c>
      <c r="Q991" t="str">
        <f>VLOOKUP(MasterData[[#This Row],[season]],[1]Lookup!$A$2:$B$5,2,FALSE)</f>
        <v>Spring</v>
      </c>
      <c r="R991" t="str">
        <f>TEXT(DATE(2026,E991,1),"mmmm")</f>
        <v>February</v>
      </c>
      <c r="S991" t="str">
        <f>IF(OR(H991=0,H991=6),"Weekend","Weekday")</f>
        <v>Weekday</v>
      </c>
      <c r="T991" s="1" t="str">
        <f>VLOOKUP(I991,[1]Lookup!$D$2:$E$5,2,FALSE)</f>
        <v>Clear</v>
      </c>
      <c r="U991" s="1" t="str">
        <f>IF(F991&lt;6,"Night",
IF(F991&lt;12,"Morning",
IF(F991&lt;17,"Afternoon",
IF(F991&lt;21,"Evening","Night"))))</f>
        <v>Morning</v>
      </c>
      <c r="V991" s="1" t="str">
        <f>IF(J991&lt;0.3,"Cold",
IF(J991&lt;0.6,"Pleasant","Hot"))</f>
        <v>Pleasant</v>
      </c>
      <c r="W991" s="1" t="str">
        <f>IF(L991&lt;0.4,"Low",
IF(L991&lt;0.7,"Medium","High"))</f>
        <v>Medium</v>
      </c>
      <c r="X991" s="1" t="str">
        <f>IF(M991&lt;0.2,"Low",
IF(M991&lt;0.4,"Medium","High"))</f>
        <v>Medium</v>
      </c>
      <c r="Y991" s="1" t="str">
        <f>IF(P991&lt;100,"Low",
IF(P991&lt;300,"Medium","High"))</f>
        <v>Low</v>
      </c>
    </row>
    <row r="992" spans="1:25" x14ac:dyDescent="0.3">
      <c r="A992">
        <v>1000</v>
      </c>
      <c r="B992" s="2">
        <v>40588</v>
      </c>
      <c r="C992">
        <v>1</v>
      </c>
      <c r="D992">
        <v>0</v>
      </c>
      <c r="E992">
        <v>2</v>
      </c>
      <c r="F992">
        <v>7</v>
      </c>
      <c r="G992" t="b">
        <v>0</v>
      </c>
      <c r="H992">
        <v>1</v>
      </c>
      <c r="I992">
        <v>1</v>
      </c>
      <c r="J992">
        <v>0.34</v>
      </c>
      <c r="K992">
        <v>0.30299999999999999</v>
      </c>
      <c r="L992">
        <v>0.46</v>
      </c>
      <c r="M992">
        <v>0.29849999999999999</v>
      </c>
      <c r="N992">
        <v>2</v>
      </c>
      <c r="O992">
        <v>96</v>
      </c>
      <c r="P992">
        <v>98</v>
      </c>
      <c r="Q992" t="str">
        <f>VLOOKUP(MasterData[[#This Row],[season]],[1]Lookup!$A$2:$B$5,2,FALSE)</f>
        <v>Spring</v>
      </c>
      <c r="R992" t="str">
        <f>TEXT(DATE(2026,E992,1),"mmmm")</f>
        <v>February</v>
      </c>
      <c r="S992" t="str">
        <f>IF(OR(H992=0,H992=6),"Weekend","Weekday")</f>
        <v>Weekday</v>
      </c>
      <c r="T992" s="1" t="str">
        <f>VLOOKUP(I992,[1]Lookup!$D$2:$E$5,2,FALSE)</f>
        <v>Clear</v>
      </c>
      <c r="U992" s="1" t="str">
        <f>IF(F992&lt;6,"Night",
IF(F992&lt;12,"Morning",
IF(F992&lt;17,"Afternoon",
IF(F992&lt;21,"Evening","Night"))))</f>
        <v>Morning</v>
      </c>
      <c r="V992" s="1" t="str">
        <f>IF(J992&lt;0.3,"Cold",
IF(J992&lt;0.6,"Pleasant","Hot"))</f>
        <v>Pleasant</v>
      </c>
      <c r="W992" s="1" t="str">
        <f>IF(L992&lt;0.4,"Low",
IF(L992&lt;0.7,"Medium","High"))</f>
        <v>Medium</v>
      </c>
      <c r="X992" s="1" t="str">
        <f>IF(M992&lt;0.2,"Low",
IF(M992&lt;0.4,"Medium","High"))</f>
        <v>Medium</v>
      </c>
      <c r="Y992" s="1" t="str">
        <f>IF(P992&lt;100,"Low",
IF(P992&lt;300,"Medium","High"))</f>
        <v>Low</v>
      </c>
    </row>
    <row r="993" spans="1:25" x14ac:dyDescent="0.3">
      <c r="A993">
        <v>611</v>
      </c>
      <c r="B993" s="2">
        <v>40571</v>
      </c>
      <c r="C993">
        <v>1</v>
      </c>
      <c r="D993">
        <v>0</v>
      </c>
      <c r="E993">
        <v>1</v>
      </c>
      <c r="F993">
        <v>16</v>
      </c>
      <c r="G993" t="b">
        <v>0</v>
      </c>
      <c r="H993">
        <v>5</v>
      </c>
      <c r="I993">
        <v>1</v>
      </c>
      <c r="J993">
        <v>0.22</v>
      </c>
      <c r="K993">
        <v>0.2727</v>
      </c>
      <c r="L993">
        <v>0.8</v>
      </c>
      <c r="M993">
        <v>0</v>
      </c>
      <c r="N993">
        <v>10</v>
      </c>
      <c r="O993">
        <v>70</v>
      </c>
      <c r="P993">
        <v>80</v>
      </c>
      <c r="Q993" t="str">
        <f>VLOOKUP(MasterData[[#This Row],[season]],[1]Lookup!$A$2:$B$5,2,FALSE)</f>
        <v>Spring</v>
      </c>
      <c r="R993" t="str">
        <f>TEXT(DATE(2026,E993,1),"mmmm")</f>
        <v>January</v>
      </c>
      <c r="S993" t="str">
        <f>IF(OR(H993=0,H993=6),"Weekend","Weekday")</f>
        <v>Weekday</v>
      </c>
      <c r="T993" s="1" t="str">
        <f>VLOOKUP(I993,[1]Lookup!$D$2:$E$5,2,FALSE)</f>
        <v>Clear</v>
      </c>
      <c r="U993" s="1" t="str">
        <f>IF(F993&lt;6,"Night",
IF(F993&lt;12,"Morning",
IF(F993&lt;17,"Afternoon",
IF(F993&lt;21,"Evening","Night"))))</f>
        <v>Afternoon</v>
      </c>
      <c r="V993" s="1" t="str">
        <f>IF(J993&lt;0.3,"Cold",
IF(J993&lt;0.6,"Pleasant","Hot"))</f>
        <v>Cold</v>
      </c>
      <c r="W993" s="1" t="str">
        <f>IF(L993&lt;0.4,"Low",
IF(L993&lt;0.7,"Medium","High"))</f>
        <v>High</v>
      </c>
      <c r="X993" s="1" t="str">
        <f>IF(M993&lt;0.2,"Low",
IF(M993&lt;0.4,"Medium","High"))</f>
        <v>Low</v>
      </c>
      <c r="Y993" s="1" t="str">
        <f>IF(P993&lt;100,"Low",
IF(P993&lt;300,"Medium","High"))</f>
        <v>Low</v>
      </c>
    </row>
    <row r="994" spans="1:25" x14ac:dyDescent="0.3">
      <c r="A994">
        <v>612</v>
      </c>
      <c r="B994" s="2">
        <v>40571</v>
      </c>
      <c r="C994">
        <v>1</v>
      </c>
      <c r="D994">
        <v>0</v>
      </c>
      <c r="E994">
        <v>1</v>
      </c>
      <c r="F994">
        <v>17</v>
      </c>
      <c r="G994" t="b">
        <v>0</v>
      </c>
      <c r="H994">
        <v>5</v>
      </c>
      <c r="I994">
        <v>1</v>
      </c>
      <c r="J994">
        <v>0.24</v>
      </c>
      <c r="K994">
        <v>0.2424</v>
      </c>
      <c r="L994">
        <v>0.75</v>
      </c>
      <c r="M994">
        <v>0.1343</v>
      </c>
      <c r="N994">
        <v>2</v>
      </c>
      <c r="O994">
        <v>147</v>
      </c>
      <c r="P994">
        <v>149</v>
      </c>
      <c r="Q994" t="str">
        <f>VLOOKUP(MasterData[[#This Row],[season]],[1]Lookup!$A$2:$B$5,2,FALSE)</f>
        <v>Spring</v>
      </c>
      <c r="R994" t="str">
        <f>TEXT(DATE(2026,E994,1),"mmmm")</f>
        <v>January</v>
      </c>
      <c r="S994" t="str">
        <f>IF(OR(H994=0,H994=6),"Weekend","Weekday")</f>
        <v>Weekday</v>
      </c>
      <c r="T994" s="1" t="str">
        <f>VLOOKUP(I994,[1]Lookup!$D$2:$E$5,2,FALSE)</f>
        <v>Clear</v>
      </c>
      <c r="U994" s="1" t="str">
        <f>IF(F994&lt;6,"Night",
IF(F994&lt;12,"Morning",
IF(F994&lt;17,"Afternoon",
IF(F994&lt;21,"Evening","Night"))))</f>
        <v>Evening</v>
      </c>
      <c r="V994" s="1" t="str">
        <f>IF(J994&lt;0.3,"Cold",
IF(J994&lt;0.6,"Pleasant","Hot"))</f>
        <v>Cold</v>
      </c>
      <c r="W994" s="1" t="str">
        <f>IF(L994&lt;0.4,"Low",
IF(L994&lt;0.7,"Medium","High"))</f>
        <v>High</v>
      </c>
      <c r="X994" s="1" t="str">
        <f>IF(M994&lt;0.2,"Low",
IF(M994&lt;0.4,"Medium","High"))</f>
        <v>Low</v>
      </c>
      <c r="Y994" s="1" t="str">
        <f>IF(P994&lt;100,"Low",
IF(P994&lt;300,"Medium","High"))</f>
        <v>Medium</v>
      </c>
    </row>
    <row r="995" spans="1:25" x14ac:dyDescent="0.3">
      <c r="A995">
        <v>613</v>
      </c>
      <c r="B995" s="2">
        <v>40571</v>
      </c>
      <c r="C995">
        <v>1</v>
      </c>
      <c r="D995">
        <v>0</v>
      </c>
      <c r="E995">
        <v>1</v>
      </c>
      <c r="F995">
        <v>18</v>
      </c>
      <c r="G995" t="b">
        <v>0</v>
      </c>
      <c r="H995">
        <v>5</v>
      </c>
      <c r="I995">
        <v>1</v>
      </c>
      <c r="J995">
        <v>0.24</v>
      </c>
      <c r="K995">
        <v>0.2273</v>
      </c>
      <c r="L995">
        <v>0.75</v>
      </c>
      <c r="M995">
        <v>0.19400000000000001</v>
      </c>
      <c r="N995">
        <v>2</v>
      </c>
      <c r="O995">
        <v>107</v>
      </c>
      <c r="P995">
        <v>109</v>
      </c>
      <c r="Q995" t="str">
        <f>VLOOKUP(MasterData[[#This Row],[season]],[1]Lookup!$A$2:$B$5,2,FALSE)</f>
        <v>Spring</v>
      </c>
      <c r="R995" t="str">
        <f>TEXT(DATE(2026,E995,1),"mmmm")</f>
        <v>January</v>
      </c>
      <c r="S995" t="str">
        <f>IF(OR(H995=0,H995=6),"Weekend","Weekday")</f>
        <v>Weekday</v>
      </c>
      <c r="T995" s="1" t="str">
        <f>VLOOKUP(I995,[1]Lookup!$D$2:$E$5,2,FALSE)</f>
        <v>Clear</v>
      </c>
      <c r="U995" s="1" t="str">
        <f>IF(F995&lt;6,"Night",
IF(F995&lt;12,"Morning",
IF(F995&lt;17,"Afternoon",
IF(F995&lt;21,"Evening","Night"))))</f>
        <v>Evening</v>
      </c>
      <c r="V995" s="1" t="str">
        <f>IF(J995&lt;0.3,"Cold",
IF(J995&lt;0.6,"Pleasant","Hot"))</f>
        <v>Cold</v>
      </c>
      <c r="W995" s="1" t="str">
        <f>IF(L995&lt;0.4,"Low",
IF(L995&lt;0.7,"Medium","High"))</f>
        <v>High</v>
      </c>
      <c r="X995" s="1" t="str">
        <f>IF(M995&lt;0.2,"Low",
IF(M995&lt;0.4,"Medium","High"))</f>
        <v>Low</v>
      </c>
      <c r="Y995" s="1" t="str">
        <f>IF(P995&lt;100,"Low",
IF(P995&lt;300,"Medium","High"))</f>
        <v>Medium</v>
      </c>
    </row>
    <row r="996" spans="1:25" x14ac:dyDescent="0.3">
      <c r="A996">
        <v>614</v>
      </c>
      <c r="B996" s="2">
        <v>40571</v>
      </c>
      <c r="C996">
        <v>1</v>
      </c>
      <c r="D996">
        <v>0</v>
      </c>
      <c r="E996">
        <v>1</v>
      </c>
      <c r="F996">
        <v>19</v>
      </c>
      <c r="G996" t="b">
        <v>0</v>
      </c>
      <c r="H996">
        <v>5</v>
      </c>
      <c r="I996">
        <v>2</v>
      </c>
      <c r="J996">
        <v>0.24</v>
      </c>
      <c r="K996">
        <v>0.2424</v>
      </c>
      <c r="L996">
        <v>0.75</v>
      </c>
      <c r="M996">
        <v>0.1343</v>
      </c>
      <c r="N996">
        <v>5</v>
      </c>
      <c r="O996">
        <v>84</v>
      </c>
      <c r="P996">
        <v>89</v>
      </c>
      <c r="Q996" t="str">
        <f>VLOOKUP(MasterData[[#This Row],[season]],[1]Lookup!$A$2:$B$5,2,FALSE)</f>
        <v>Spring</v>
      </c>
      <c r="R996" t="str">
        <f>TEXT(DATE(2026,E996,1),"mmmm")</f>
        <v>January</v>
      </c>
      <c r="S996" t="str">
        <f>IF(OR(H996=0,H996=6),"Weekend","Weekday")</f>
        <v>Weekday</v>
      </c>
      <c r="T996" s="1" t="str">
        <f>VLOOKUP(I996,[1]Lookup!$D$2:$E$5,2,FALSE)</f>
        <v>Mist / Cloudy</v>
      </c>
      <c r="U996" s="1" t="str">
        <f>IF(F996&lt;6,"Night",
IF(F996&lt;12,"Morning",
IF(F996&lt;17,"Afternoon",
IF(F996&lt;21,"Evening","Night"))))</f>
        <v>Evening</v>
      </c>
      <c r="V996" s="1" t="str">
        <f>IF(J996&lt;0.3,"Cold",
IF(J996&lt;0.6,"Pleasant","Hot"))</f>
        <v>Cold</v>
      </c>
      <c r="W996" s="1" t="str">
        <f>IF(L996&lt;0.4,"Low",
IF(L996&lt;0.7,"Medium","High"))</f>
        <v>High</v>
      </c>
      <c r="X996" s="1" t="str">
        <f>IF(M996&lt;0.2,"Low",
IF(M996&lt;0.4,"Medium","High"))</f>
        <v>Low</v>
      </c>
      <c r="Y996" s="1" t="str">
        <f>IF(P996&lt;100,"Low",
IF(P996&lt;300,"Medium","High"))</f>
        <v>Low</v>
      </c>
    </row>
    <row r="997" spans="1:25" x14ac:dyDescent="0.3">
      <c r="A997">
        <v>615</v>
      </c>
      <c r="B997" s="2">
        <v>40571</v>
      </c>
      <c r="C997">
        <v>1</v>
      </c>
      <c r="D997">
        <v>0</v>
      </c>
      <c r="E997">
        <v>1</v>
      </c>
      <c r="F997">
        <v>20</v>
      </c>
      <c r="G997" t="b">
        <v>0</v>
      </c>
      <c r="H997">
        <v>5</v>
      </c>
      <c r="I997">
        <v>2</v>
      </c>
      <c r="J997">
        <v>0.24</v>
      </c>
      <c r="K997">
        <v>0.2273</v>
      </c>
      <c r="L997">
        <v>0.7</v>
      </c>
      <c r="M997">
        <v>0.19400000000000001</v>
      </c>
      <c r="N997">
        <v>1</v>
      </c>
      <c r="O997">
        <v>61</v>
      </c>
      <c r="P997">
        <v>62</v>
      </c>
      <c r="Q997" t="str">
        <f>VLOOKUP(MasterData[[#This Row],[season]],[1]Lookup!$A$2:$B$5,2,FALSE)</f>
        <v>Spring</v>
      </c>
      <c r="R997" t="str">
        <f>TEXT(DATE(2026,E997,1),"mmmm")</f>
        <v>January</v>
      </c>
      <c r="S997" t="str">
        <f>IF(OR(H997=0,H997=6),"Weekend","Weekday")</f>
        <v>Weekday</v>
      </c>
      <c r="T997" s="1" t="str">
        <f>VLOOKUP(I997,[1]Lookup!$D$2:$E$5,2,FALSE)</f>
        <v>Mist / Cloudy</v>
      </c>
      <c r="U997" s="1" t="str">
        <f>IF(F997&lt;6,"Night",
IF(F997&lt;12,"Morning",
IF(F997&lt;17,"Afternoon",
IF(F997&lt;21,"Evening","Night"))))</f>
        <v>Evening</v>
      </c>
      <c r="V997" s="1" t="str">
        <f>IF(J997&lt;0.3,"Cold",
IF(J997&lt;0.6,"Pleasant","Hot"))</f>
        <v>Cold</v>
      </c>
      <c r="W997" s="1" t="str">
        <f>IF(L997&lt;0.4,"Low",
IF(L997&lt;0.7,"Medium","High"))</f>
        <v>High</v>
      </c>
      <c r="X997" s="1" t="str">
        <f>IF(M997&lt;0.2,"Low",
IF(M997&lt;0.4,"Medium","High"))</f>
        <v>Low</v>
      </c>
      <c r="Y997" s="1" t="str">
        <f>IF(P997&lt;100,"Low",
IF(P997&lt;300,"Medium","High"))</f>
        <v>Low</v>
      </c>
    </row>
    <row r="998" spans="1:25" x14ac:dyDescent="0.3">
      <c r="A998">
        <v>616</v>
      </c>
      <c r="B998" s="2">
        <v>40571</v>
      </c>
      <c r="C998">
        <v>1</v>
      </c>
      <c r="D998">
        <v>0</v>
      </c>
      <c r="E998">
        <v>1</v>
      </c>
      <c r="F998">
        <v>21</v>
      </c>
      <c r="G998" t="b">
        <v>0</v>
      </c>
      <c r="H998">
        <v>5</v>
      </c>
      <c r="I998">
        <v>2</v>
      </c>
      <c r="J998">
        <v>0.22</v>
      </c>
      <c r="K998">
        <v>0.2273</v>
      </c>
      <c r="L998">
        <v>0.75</v>
      </c>
      <c r="M998">
        <v>0.1343</v>
      </c>
      <c r="N998">
        <v>1</v>
      </c>
      <c r="O998">
        <v>57</v>
      </c>
      <c r="P998">
        <v>58</v>
      </c>
      <c r="Q998" t="str">
        <f>VLOOKUP(MasterData[[#This Row],[season]],[1]Lookup!$A$2:$B$5,2,FALSE)</f>
        <v>Spring</v>
      </c>
      <c r="R998" t="str">
        <f>TEXT(DATE(2026,E998,1),"mmmm")</f>
        <v>January</v>
      </c>
      <c r="S998" t="str">
        <f>IF(OR(H998=0,H998=6),"Weekend","Weekday")</f>
        <v>Weekday</v>
      </c>
      <c r="T998" s="1" t="str">
        <f>VLOOKUP(I998,[1]Lookup!$D$2:$E$5,2,FALSE)</f>
        <v>Mist / Cloudy</v>
      </c>
      <c r="U998" s="1" t="str">
        <f>IF(F998&lt;6,"Night",
IF(F998&lt;12,"Morning",
IF(F998&lt;17,"Afternoon",
IF(F998&lt;21,"Evening","Night"))))</f>
        <v>Night</v>
      </c>
      <c r="V998" s="1" t="str">
        <f>IF(J998&lt;0.3,"Cold",
IF(J998&lt;0.6,"Pleasant","Hot"))</f>
        <v>Cold</v>
      </c>
      <c r="W998" s="1" t="str">
        <f>IF(L998&lt;0.4,"Low",
IF(L998&lt;0.7,"Medium","High"))</f>
        <v>High</v>
      </c>
      <c r="X998" s="1" t="str">
        <f>IF(M998&lt;0.2,"Low",
IF(M998&lt;0.4,"Medium","High"))</f>
        <v>Low</v>
      </c>
      <c r="Y998" s="1" t="str">
        <f>IF(P998&lt;100,"Low",
IF(P998&lt;300,"Medium","High"))</f>
        <v>Low</v>
      </c>
    </row>
    <row r="999" spans="1:25" x14ac:dyDescent="0.3">
      <c r="A999">
        <v>617</v>
      </c>
      <c r="B999" s="2">
        <v>40571</v>
      </c>
      <c r="C999">
        <v>1</v>
      </c>
      <c r="D999">
        <v>0</v>
      </c>
      <c r="E999">
        <v>1</v>
      </c>
      <c r="F999">
        <v>22</v>
      </c>
      <c r="G999" t="b">
        <v>0</v>
      </c>
      <c r="H999">
        <v>5</v>
      </c>
      <c r="I999">
        <v>1</v>
      </c>
      <c r="J999">
        <v>0.24</v>
      </c>
      <c r="K999">
        <v>0.21210000000000001</v>
      </c>
      <c r="L999">
        <v>0.65</v>
      </c>
      <c r="M999">
        <v>0.35820000000000002</v>
      </c>
      <c r="N999">
        <v>0</v>
      </c>
      <c r="O999">
        <v>26</v>
      </c>
      <c r="P999">
        <v>26</v>
      </c>
      <c r="Q999" t="str">
        <f>VLOOKUP(MasterData[[#This Row],[season]],[1]Lookup!$A$2:$B$5,2,FALSE)</f>
        <v>Spring</v>
      </c>
      <c r="R999" t="str">
        <f>TEXT(DATE(2026,E999,1),"mmmm")</f>
        <v>January</v>
      </c>
      <c r="S999" t="str">
        <f>IF(OR(H999=0,H999=6),"Weekend","Weekday")</f>
        <v>Weekday</v>
      </c>
      <c r="T999" s="1" t="str">
        <f>VLOOKUP(I999,[1]Lookup!$D$2:$E$5,2,FALSE)</f>
        <v>Clear</v>
      </c>
      <c r="U999" s="1" t="str">
        <f>IF(F999&lt;6,"Night",
IF(F999&lt;12,"Morning",
IF(F999&lt;17,"Afternoon",
IF(F999&lt;21,"Evening","Night"))))</f>
        <v>Night</v>
      </c>
      <c r="V999" s="1" t="str">
        <f>IF(J999&lt;0.3,"Cold",
IF(J999&lt;0.6,"Pleasant","Hot"))</f>
        <v>Cold</v>
      </c>
      <c r="W999" s="1" t="str">
        <f>IF(L999&lt;0.4,"Low",
IF(L999&lt;0.7,"Medium","High"))</f>
        <v>Medium</v>
      </c>
      <c r="X999" s="1" t="str">
        <f>IF(M999&lt;0.2,"Low",
IF(M999&lt;0.4,"Medium","High"))</f>
        <v>Medium</v>
      </c>
      <c r="Y999" s="1" t="str">
        <f>IF(P999&lt;100,"Low",
IF(P999&lt;300,"Medium","High"))</f>
        <v>Low</v>
      </c>
    </row>
    <row r="1000" spans="1:25" x14ac:dyDescent="0.3">
      <c r="A1000">
        <v>618</v>
      </c>
      <c r="B1000" s="2">
        <v>40571</v>
      </c>
      <c r="C1000">
        <v>1</v>
      </c>
      <c r="D1000">
        <v>0</v>
      </c>
      <c r="E1000">
        <v>1</v>
      </c>
      <c r="F1000">
        <v>23</v>
      </c>
      <c r="G1000" t="b">
        <v>0</v>
      </c>
      <c r="H1000">
        <v>5</v>
      </c>
      <c r="I1000">
        <v>1</v>
      </c>
      <c r="J1000">
        <v>0.24</v>
      </c>
      <c r="K1000">
        <v>0.2273</v>
      </c>
      <c r="L1000">
        <v>0.6</v>
      </c>
      <c r="M1000">
        <v>0.22389999999999999</v>
      </c>
      <c r="N1000">
        <v>1</v>
      </c>
      <c r="O1000">
        <v>22</v>
      </c>
      <c r="P1000">
        <v>23</v>
      </c>
      <c r="Q1000" t="str">
        <f>VLOOKUP(MasterData[[#This Row],[season]],[1]Lookup!$A$2:$B$5,2,FALSE)</f>
        <v>Spring</v>
      </c>
      <c r="R1000" t="str">
        <f>TEXT(DATE(2026,E1000,1),"mmmm")</f>
        <v>January</v>
      </c>
      <c r="S1000" t="str">
        <f>IF(OR(H1000=0,H1000=6),"Weekend","Weekday")</f>
        <v>Weekday</v>
      </c>
      <c r="T1000" s="1" t="str">
        <f>VLOOKUP(I1000,[1]Lookup!$D$2:$E$5,2,FALSE)</f>
        <v>Clear</v>
      </c>
      <c r="U1000" s="1" t="str">
        <f>IF(F1000&lt;6,"Night",
IF(F1000&lt;12,"Morning",
IF(F1000&lt;17,"Afternoon",
IF(F1000&lt;21,"Evening","Night"))))</f>
        <v>Night</v>
      </c>
      <c r="V1000" s="1" t="str">
        <f>IF(J1000&lt;0.3,"Cold",
IF(J1000&lt;0.6,"Pleasant","Hot"))</f>
        <v>Cold</v>
      </c>
      <c r="W1000" s="1" t="str">
        <f>IF(L1000&lt;0.4,"Low",
IF(L1000&lt;0.7,"Medium","High"))</f>
        <v>Medium</v>
      </c>
      <c r="X1000" s="1" t="str">
        <f>IF(M1000&lt;0.2,"Low",
IF(M1000&lt;0.4,"Medium","High"))</f>
        <v>Medium</v>
      </c>
      <c r="Y1000" s="1" t="str">
        <f>IF(P1000&lt;100,"Low",
IF(P1000&lt;300,"Medium","High"))</f>
        <v>Low</v>
      </c>
    </row>
    <row r="1001" spans="1:25" x14ac:dyDescent="0.3">
      <c r="A1001">
        <v>619</v>
      </c>
      <c r="B1001" s="2">
        <v>40572</v>
      </c>
      <c r="C1001">
        <v>1</v>
      </c>
      <c r="D1001">
        <v>0</v>
      </c>
      <c r="E1001">
        <v>1</v>
      </c>
      <c r="F1001">
        <v>0</v>
      </c>
      <c r="G1001" t="b">
        <v>0</v>
      </c>
      <c r="H1001">
        <v>6</v>
      </c>
      <c r="I1001">
        <v>1</v>
      </c>
      <c r="J1001">
        <v>0.22</v>
      </c>
      <c r="K1001">
        <v>0.19700000000000001</v>
      </c>
      <c r="L1001">
        <v>0.64</v>
      </c>
      <c r="M1001">
        <v>0.35820000000000002</v>
      </c>
      <c r="N1001">
        <v>2</v>
      </c>
      <c r="O1001">
        <v>26</v>
      </c>
      <c r="P1001">
        <v>28</v>
      </c>
      <c r="Q1001" t="str">
        <f>VLOOKUP(MasterData[[#This Row],[season]],[1]Lookup!$A$2:$B$5,2,FALSE)</f>
        <v>Spring</v>
      </c>
      <c r="R1001" t="str">
        <f>TEXT(DATE(2026,E1001,1),"mmmm")</f>
        <v>January</v>
      </c>
      <c r="S1001" t="str">
        <f>IF(OR(H1001=0,H1001=6),"Weekend","Weekday")</f>
        <v>Weekend</v>
      </c>
      <c r="T1001" s="1" t="str">
        <f>VLOOKUP(I1001,[1]Lookup!$D$2:$E$5,2,FALSE)</f>
        <v>Clear</v>
      </c>
      <c r="U1001" s="1" t="str">
        <f>IF(F1001&lt;6,"Night",
IF(F1001&lt;12,"Morning",
IF(F1001&lt;17,"Afternoon",
IF(F1001&lt;21,"Evening","Night"))))</f>
        <v>Night</v>
      </c>
      <c r="V1001" s="1" t="str">
        <f>IF(J1001&lt;0.3,"Cold",
IF(J1001&lt;0.6,"Pleasant","Hot"))</f>
        <v>Cold</v>
      </c>
      <c r="W1001" s="1" t="str">
        <f>IF(L1001&lt;0.4,"Low",
IF(L1001&lt;0.7,"Medium","High"))</f>
        <v>Medium</v>
      </c>
      <c r="X1001" s="1" t="str">
        <f>IF(M1001&lt;0.2,"Low",
IF(M1001&lt;0.4,"Medium","High"))</f>
        <v>Medium</v>
      </c>
      <c r="Y1001" s="1" t="str">
        <f>IF(P1001&lt;100,"Low",
IF(P1001&lt;300,"Medium","High"))</f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MasterData</vt:lpstr>
      <vt:lpstr>MasterData!ExternalData_1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2026-07-25T17:20:08Z</dcterms:created>
  <dcterms:modified xsi:type="dcterms:W3CDTF">2026-07-25T17:22:19Z</dcterms:modified>
</cp:coreProperties>
</file>